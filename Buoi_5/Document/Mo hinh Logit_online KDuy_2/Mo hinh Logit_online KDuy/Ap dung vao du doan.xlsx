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_daotao\Lop Phan dich du lieu_du bao\Mo hinh Logit\"/>
    </mc:Choice>
  </mc:AlternateContent>
  <xr:revisionPtr revIDLastSave="0" documentId="8_{14556E8E-08EC-449F-AC8E-688B446CC4D8}" xr6:coauthVersionLast="36" xr6:coauthVersionMax="36" xr10:uidLastSave="{00000000-0000-0000-0000-000000000000}"/>
  <bookViews>
    <workbookView xWindow="0" yWindow="0" windowWidth="23040" windowHeight="9060" xr2:uid="{7C8B9222-0C68-4334-ADAA-B6A973B148F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17" i="1" l="1"/>
  <c r="L16" i="1"/>
  <c r="L15" i="1"/>
  <c r="L14" i="1"/>
</calcChain>
</file>

<file path=xl/sharedStrings.xml><?xml version="1.0" encoding="utf-8"?>
<sst xmlns="http://schemas.openxmlformats.org/spreadsheetml/2006/main" count="20" uniqueCount="20">
  <si>
    <t>Variables in the Equation</t>
  </si>
  <si>
    <t>B</t>
  </si>
  <si>
    <t>S.E.</t>
  </si>
  <si>
    <t>Wald</t>
  </si>
  <si>
    <t>df</t>
  </si>
  <si>
    <t>Sig.</t>
  </si>
  <si>
    <t>Exp(B)</t>
  </si>
  <si>
    <t>VON</t>
  </si>
  <si>
    <t>NLUC</t>
  </si>
  <si>
    <t>KTRA</t>
  </si>
  <si>
    <t>TUVAN</t>
  </si>
  <si>
    <t>ROS</t>
  </si>
  <si>
    <t>ITC</t>
  </si>
  <si>
    <t>Constant</t>
  </si>
  <si>
    <t>a. Variable(s) entered on step 1: VON, NLUC, KTRA, TUVAN, ROS, ITC.</t>
  </si>
  <si>
    <r>
      <t>Step 1</t>
    </r>
    <r>
      <rPr>
        <vertAlign val="superscript"/>
        <sz val="9"/>
        <color indexed="8"/>
        <rFont val="Arial"/>
      </rPr>
      <t>a</t>
    </r>
  </si>
  <si>
    <t>Z=</t>
  </si>
  <si>
    <t>exp(Z)</t>
  </si>
  <si>
    <t>1+exp(Z)</t>
  </si>
  <si>
    <t>P(Y=1)hat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</si>
</sst>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.000"/>
    <numFmt numFmtId="165" formatCode="###0.000"/>
    <numFmt numFmtId="166" formatCode="###0"/>
  </numFmts>
  <fonts count="5">
    <font>
      <sz val="11"/>
      <color theme="1"/>
      <name val="Arial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3" fillId="0" borderId="8" xfId="1" applyNumberFormat="1" applyFont="1" applyBorder="1" applyAlignment="1">
      <alignment horizontal="right" vertical="top"/>
    </xf>
    <xf numFmtId="164" fontId="3" fillId="0" borderId="9" xfId="1" applyNumberFormat="1" applyFont="1" applyBorder="1" applyAlignment="1">
      <alignment horizontal="right" vertical="top"/>
    </xf>
    <xf numFmtId="165" fontId="3" fillId="0" borderId="9" xfId="1" applyNumberFormat="1" applyFont="1" applyBorder="1" applyAlignment="1">
      <alignment horizontal="right" vertical="top"/>
    </xf>
    <xf numFmtId="166" fontId="3" fillId="0" borderId="9" xfId="1" applyNumberFormat="1" applyFont="1" applyBorder="1" applyAlignment="1">
      <alignment horizontal="right" vertical="top"/>
    </xf>
    <xf numFmtId="165" fontId="3" fillId="0" borderId="10" xfId="1" applyNumberFormat="1" applyFont="1" applyBorder="1" applyAlignment="1">
      <alignment horizontal="right" vertical="top"/>
    </xf>
    <xf numFmtId="0" fontId="3" fillId="0" borderId="11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164" fontId="3" fillId="0" borderId="13" xfId="1" applyNumberFormat="1" applyFont="1" applyBorder="1" applyAlignment="1">
      <alignment horizontal="right" vertical="top"/>
    </xf>
    <xf numFmtId="164" fontId="3" fillId="0" borderId="14" xfId="1" applyNumberFormat="1" applyFont="1" applyBorder="1" applyAlignment="1">
      <alignment horizontal="right" vertical="top"/>
    </xf>
    <xf numFmtId="166" fontId="3" fillId="0" borderId="14" xfId="1" applyNumberFormat="1" applyFont="1" applyBorder="1" applyAlignment="1">
      <alignment horizontal="right" vertical="top"/>
    </xf>
    <xf numFmtId="165" fontId="3" fillId="0" borderId="15" xfId="1" applyNumberFormat="1" applyFont="1" applyBorder="1" applyAlignment="1">
      <alignment horizontal="right" vertical="top"/>
    </xf>
    <xf numFmtId="165" fontId="3" fillId="0" borderId="13" xfId="1" applyNumberFormat="1" applyFont="1" applyBorder="1" applyAlignment="1">
      <alignment horizontal="right" vertical="top"/>
    </xf>
    <xf numFmtId="165" fontId="3" fillId="0" borderId="14" xfId="1" applyNumberFormat="1" applyFont="1" applyBorder="1" applyAlignment="1">
      <alignment horizontal="right" vertical="top"/>
    </xf>
    <xf numFmtId="0" fontId="3" fillId="0" borderId="16" xfId="1" applyFont="1" applyBorder="1" applyAlignment="1">
      <alignment horizontal="left" vertical="top" wrapText="1"/>
    </xf>
    <xf numFmtId="0" fontId="3" fillId="0" borderId="17" xfId="1" applyFont="1" applyBorder="1" applyAlignment="1">
      <alignment horizontal="left" vertical="top" wrapText="1"/>
    </xf>
    <xf numFmtId="165" fontId="3" fillId="0" borderId="18" xfId="1" applyNumberFormat="1" applyFont="1" applyBorder="1" applyAlignment="1">
      <alignment horizontal="right" vertical="top"/>
    </xf>
    <xf numFmtId="165" fontId="3" fillId="0" borderId="19" xfId="1" applyNumberFormat="1" applyFont="1" applyBorder="1" applyAlignment="1">
      <alignment horizontal="right" vertical="top"/>
    </xf>
    <xf numFmtId="166" fontId="3" fillId="0" borderId="19" xfId="1" applyNumberFormat="1" applyFont="1" applyBorder="1" applyAlignment="1">
      <alignment horizontal="right" vertical="top"/>
    </xf>
    <xf numFmtId="164" fontId="3" fillId="0" borderId="19" xfId="1" applyNumberFormat="1" applyFont="1" applyBorder="1" applyAlignment="1">
      <alignment horizontal="right" vertical="top"/>
    </xf>
    <xf numFmtId="164" fontId="3" fillId="0" borderId="20" xfId="1" applyNumberFormat="1" applyFont="1" applyBorder="1" applyAlignment="1">
      <alignment horizontal="right" vertical="top"/>
    </xf>
    <xf numFmtId="0" fontId="3" fillId="0" borderId="0" xfId="1" applyFont="1" applyBorder="1" applyAlignment="1">
      <alignment horizontal="left" vertical="top" wrapText="1"/>
    </xf>
    <xf numFmtId="0" fontId="0" fillId="0" borderId="0" xfId="0" quotePrefix="1"/>
  </cellXfs>
  <cellStyles count="2">
    <cellStyle name="Normal" xfId="0" builtinId="0"/>
    <cellStyle name="Normal_Sheet1" xfId="1" xr:uid="{45C32DA3-F755-4D98-BC1E-DAB71A1884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2F43-1A94-433A-B8A0-DA73C122D852}">
  <dimension ref="C3:L17"/>
  <sheetViews>
    <sheetView tabSelected="1" workbookViewId="0">
      <selection activeCell="N17" sqref="N17"/>
    </sheetView>
  </sheetViews>
  <sheetFormatPr defaultRowHeight="13.8"/>
  <sheetData>
    <row r="3" spans="3:12" ht="14.4" thickBot="1">
      <c r="C3" s="1" t="s">
        <v>0</v>
      </c>
      <c r="D3" s="1"/>
      <c r="E3" s="1"/>
      <c r="F3" s="1"/>
      <c r="G3" s="1"/>
      <c r="H3" s="1"/>
      <c r="I3" s="1"/>
      <c r="J3" s="1"/>
      <c r="K3" s="2"/>
    </row>
    <row r="4" spans="3:12" ht="15" thickTop="1" thickBot="1">
      <c r="C4" s="3"/>
      <c r="D4" s="4"/>
      <c r="E4" s="5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7" t="s">
        <v>6</v>
      </c>
      <c r="K4" s="2"/>
    </row>
    <row r="5" spans="3:12" ht="14.4" thickTop="1">
      <c r="C5" s="8" t="s">
        <v>15</v>
      </c>
      <c r="D5" s="9" t="s">
        <v>7</v>
      </c>
      <c r="E5" s="10">
        <v>0.26999555443777939</v>
      </c>
      <c r="F5" s="11">
        <v>6.5245754914760964E-2</v>
      </c>
      <c r="G5" s="12">
        <v>17.1241374846078</v>
      </c>
      <c r="H5" s="13">
        <v>1</v>
      </c>
      <c r="I5" s="11">
        <v>3.5014472759054445E-5</v>
      </c>
      <c r="J5" s="14">
        <v>1.3099586272177193</v>
      </c>
      <c r="K5" s="2"/>
      <c r="L5">
        <v>50</v>
      </c>
    </row>
    <row r="6" spans="3:12">
      <c r="C6" s="15"/>
      <c r="D6" s="16" t="s">
        <v>8</v>
      </c>
      <c r="E6" s="17">
        <v>7.5273978799094829E-3</v>
      </c>
      <c r="F6" s="18">
        <v>2.6670094695357308E-2</v>
      </c>
      <c r="G6" s="18">
        <v>7.9660060032957947E-2</v>
      </c>
      <c r="H6" s="19">
        <v>1</v>
      </c>
      <c r="I6" s="18">
        <v>0.77775861635189014</v>
      </c>
      <c r="J6" s="20">
        <v>1.0075557999591891</v>
      </c>
      <c r="K6" s="2"/>
      <c r="L6">
        <v>60</v>
      </c>
    </row>
    <row r="7" spans="3:12">
      <c r="C7" s="15"/>
      <c r="D7" s="16" t="s">
        <v>9</v>
      </c>
      <c r="E7" s="21">
        <v>2.057425689436319</v>
      </c>
      <c r="F7" s="18">
        <v>0.94089495698064607</v>
      </c>
      <c r="G7" s="22">
        <v>4.781520640431923</v>
      </c>
      <c r="H7" s="19">
        <v>1</v>
      </c>
      <c r="I7" s="18">
        <v>2.8766707504241679E-2</v>
      </c>
      <c r="J7" s="20">
        <v>7.8257978229735841</v>
      </c>
      <c r="K7" s="2"/>
      <c r="L7">
        <v>0</v>
      </c>
    </row>
    <row r="8" spans="3:12">
      <c r="C8" s="15"/>
      <c r="D8" s="16" t="s">
        <v>10</v>
      </c>
      <c r="E8" s="21">
        <v>1.5665996131096322</v>
      </c>
      <c r="F8" s="18">
        <v>0.89181530419025878</v>
      </c>
      <c r="G8" s="22">
        <v>3.0857887269763418</v>
      </c>
      <c r="H8" s="19">
        <v>1</v>
      </c>
      <c r="I8" s="18">
        <v>7.8978965324162737E-2</v>
      </c>
      <c r="J8" s="20">
        <v>4.7903314875494285</v>
      </c>
      <c r="K8" s="2"/>
      <c r="L8">
        <v>1</v>
      </c>
    </row>
    <row r="9" spans="3:12">
      <c r="C9" s="15"/>
      <c r="D9" s="16" t="s">
        <v>11</v>
      </c>
      <c r="E9" s="17">
        <v>7.8902205859738908E-2</v>
      </c>
      <c r="F9" s="18">
        <v>3.1031525766963351E-2</v>
      </c>
      <c r="G9" s="22">
        <v>6.4650521217861412</v>
      </c>
      <c r="H9" s="19">
        <v>1</v>
      </c>
      <c r="I9" s="18">
        <v>1.1001641488230015E-2</v>
      </c>
      <c r="J9" s="20">
        <v>1.0820984940038176</v>
      </c>
      <c r="K9" s="2"/>
      <c r="L9">
        <v>45</v>
      </c>
    </row>
    <row r="10" spans="3:12">
      <c r="C10" s="15"/>
      <c r="D10" s="16" t="s">
        <v>12</v>
      </c>
      <c r="E10" s="21">
        <v>1.0806027704651879</v>
      </c>
      <c r="F10" s="18">
        <v>0.46598136823030428</v>
      </c>
      <c r="G10" s="22">
        <v>5.3776811512377591</v>
      </c>
      <c r="H10" s="19">
        <v>1</v>
      </c>
      <c r="I10" s="18">
        <v>2.0395969843772493E-2</v>
      </c>
      <c r="J10" s="20">
        <v>2.9464550519843482</v>
      </c>
      <c r="K10" s="2"/>
      <c r="L10">
        <v>3</v>
      </c>
    </row>
    <row r="11" spans="3:12" ht="14.4" thickBot="1">
      <c r="C11" s="23"/>
      <c r="D11" s="24" t="s">
        <v>13</v>
      </c>
      <c r="E11" s="25">
        <v>-18.207120428329208</v>
      </c>
      <c r="F11" s="26">
        <v>3.5848449485770231</v>
      </c>
      <c r="G11" s="26">
        <v>25.795370907980551</v>
      </c>
      <c r="H11" s="27">
        <v>1</v>
      </c>
      <c r="I11" s="28">
        <v>3.7959779613127527E-7</v>
      </c>
      <c r="J11" s="29">
        <v>1.2380781714725125E-8</v>
      </c>
      <c r="K11" s="2"/>
    </row>
    <row r="12" spans="3:12" ht="14.4" thickTop="1">
      <c r="C12" s="30" t="s">
        <v>14</v>
      </c>
      <c r="D12" s="30"/>
      <c r="E12" s="30"/>
      <c r="F12" s="30"/>
      <c r="G12" s="30"/>
      <c r="H12" s="30"/>
      <c r="I12" s="30"/>
      <c r="J12" s="30"/>
      <c r="K12" s="2"/>
    </row>
    <row r="14" spans="3:12">
      <c r="K14" t="s">
        <v>16</v>
      </c>
      <c r="L14">
        <f>E5*L5+E6*L6+E7*L7+E8*L8+E9*L9+E10*L10+E11</f>
        <v>4.103308354547778</v>
      </c>
    </row>
    <row r="15" spans="3:12">
      <c r="K15" t="s">
        <v>17</v>
      </c>
      <c r="L15">
        <f>EXP(L14)</f>
        <v>60.54024524526433</v>
      </c>
    </row>
    <row r="16" spans="3:12">
      <c r="K16" s="31" t="s">
        <v>18</v>
      </c>
      <c r="L16">
        <f>1+L15</f>
        <v>61.54024524526433</v>
      </c>
    </row>
    <row r="17" spans="11:12">
      <c r="K17" t="s">
        <v>19</v>
      </c>
      <c r="L17">
        <f>L15/L16</f>
        <v>0.98375047099642565</v>
      </c>
    </row>
  </sheetData>
  <mergeCells count="4">
    <mergeCell ref="C3:J3"/>
    <mergeCell ref="C4:D4"/>
    <mergeCell ref="C5:C11"/>
    <mergeCell ref="C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Duy Nguyen</dc:creator>
  <cp:lastModifiedBy>Khanh Duy Nguyen</cp:lastModifiedBy>
  <dcterms:created xsi:type="dcterms:W3CDTF">2020-04-03T09:19:30Z</dcterms:created>
  <dcterms:modified xsi:type="dcterms:W3CDTF">2020-04-03T10:47:23Z</dcterms:modified>
</cp:coreProperties>
</file>