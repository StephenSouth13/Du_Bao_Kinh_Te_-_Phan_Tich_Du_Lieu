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_daotao\Lop Thiet ke nghien cuu_toi thu 2\Mo hinh Logit\"/>
    </mc:Choice>
  </mc:AlternateContent>
  <xr:revisionPtr revIDLastSave="0" documentId="13_ncr:1_{BC5EC064-A64F-44D9-9A81-0A8CB8D74DEC}" xr6:coauthVersionLast="36" xr6:coauthVersionMax="36" xr10:uidLastSave="{00000000-0000-0000-0000-000000000000}"/>
  <bookViews>
    <workbookView xWindow="0" yWindow="0" windowWidth="23040" windowHeight="9060" xr2:uid="{64CE76B5-7B1E-48B2-9613-7F9629449E8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" l="1"/>
  <c r="E2" i="1"/>
  <c r="E4" i="1"/>
  <c r="E6" i="1"/>
  <c r="C7" i="1"/>
  <c r="C5" i="1"/>
  <c r="I5" i="1"/>
  <c r="J5" i="1"/>
  <c r="K5" i="1"/>
  <c r="L5" i="1"/>
  <c r="M5" i="1"/>
  <c r="N5" i="1"/>
  <c r="O5" i="1"/>
  <c r="P5" i="1"/>
  <c r="Q5" i="1"/>
  <c r="R5" i="1"/>
  <c r="S5" i="1"/>
  <c r="H5" i="1"/>
  <c r="J4" i="1"/>
  <c r="K4" i="1"/>
  <c r="L4" i="1"/>
  <c r="M4" i="1"/>
  <c r="N4" i="1"/>
  <c r="O4" i="1"/>
  <c r="P4" i="1"/>
  <c r="Q4" i="1"/>
  <c r="R4" i="1"/>
  <c r="S4" i="1"/>
  <c r="I4" i="1"/>
  <c r="N3" i="1"/>
  <c r="O3" i="1" s="1"/>
  <c r="P3" i="1" s="1"/>
  <c r="Q3" i="1" s="1"/>
  <c r="R3" i="1" s="1"/>
  <c r="S3" i="1" s="1"/>
  <c r="M3" i="1"/>
  <c r="J3" i="1"/>
  <c r="K3" i="1"/>
  <c r="L3" i="1" s="1"/>
  <c r="I3" i="1"/>
  <c r="B3" i="1"/>
</calcChain>
</file>

<file path=xl/sharedStrings.xml><?xml version="1.0" encoding="utf-8"?>
<sst xmlns="http://schemas.openxmlformats.org/spreadsheetml/2006/main" count="6" uniqueCount="6">
  <si>
    <t>OddsNew</t>
  </si>
  <si>
    <t>OddsOld</t>
  </si>
  <si>
    <t>OR</t>
  </si>
  <si>
    <t>Ví dụ từ file binlfp2</t>
  </si>
  <si>
    <t>k5</t>
  </si>
  <si>
    <t>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</si>
</sst>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46D8-2086-40EB-8FA2-4F48B8CFC65F}">
  <dimension ref="A1:S8"/>
  <sheetViews>
    <sheetView tabSelected="1" workbookViewId="0">
      <selection activeCell="E10" sqref="E10"/>
    </sheetView>
  </sheetViews>
  <sheetFormatPr defaultRowHeight="13.8" x14ac:dyDescent="0.25"/>
  <sheetData>
    <row r="1" spans="1:19" x14ac:dyDescent="0.25">
      <c r="A1" t="s">
        <v>3</v>
      </c>
    </row>
    <row r="2" spans="1:19" x14ac:dyDescent="0.25">
      <c r="A2" t="s">
        <v>4</v>
      </c>
      <c r="B2" s="3">
        <v>0.2316</v>
      </c>
      <c r="E2" s="4">
        <f>1/0.23</f>
        <v>4.3478260869565215</v>
      </c>
    </row>
    <row r="3" spans="1:19" x14ac:dyDescent="0.25">
      <c r="B3" s="2">
        <f>1-B2</f>
        <v>0.76839999999999997</v>
      </c>
      <c r="H3">
        <v>0.5</v>
      </c>
      <c r="I3">
        <f>H3+0.1</f>
        <v>0.6</v>
      </c>
      <c r="J3">
        <f t="shared" ref="J3:P3" si="0">I3+0.1</f>
        <v>0.7</v>
      </c>
      <c r="K3">
        <f t="shared" si="0"/>
        <v>0.79999999999999993</v>
      </c>
      <c r="L3">
        <f t="shared" si="0"/>
        <v>0.89999999999999991</v>
      </c>
      <c r="M3">
        <f>L3+0.01</f>
        <v>0.90999999999999992</v>
      </c>
      <c r="N3">
        <f t="shared" ref="N3:S3" si="1">M3+0.01</f>
        <v>0.91999999999999993</v>
      </c>
      <c r="O3">
        <f t="shared" si="1"/>
        <v>0.92999999999999994</v>
      </c>
      <c r="P3">
        <f t="shared" si="1"/>
        <v>0.94</v>
      </c>
      <c r="Q3">
        <f t="shared" si="1"/>
        <v>0.95</v>
      </c>
      <c r="R3">
        <f t="shared" si="1"/>
        <v>0.96</v>
      </c>
      <c r="S3">
        <f t="shared" si="1"/>
        <v>0.97</v>
      </c>
    </row>
    <row r="4" spans="1:19" x14ac:dyDescent="0.25">
      <c r="E4">
        <f>1/C5</f>
        <v>2.8785261945883707</v>
      </c>
      <c r="H4">
        <v>0.5</v>
      </c>
      <c r="I4">
        <f>1-I3</f>
        <v>0.4</v>
      </c>
      <c r="J4">
        <f t="shared" ref="J4:S4" si="2">1-J3</f>
        <v>0.30000000000000004</v>
      </c>
      <c r="K4">
        <f t="shared" si="2"/>
        <v>0.20000000000000007</v>
      </c>
      <c r="L4">
        <f t="shared" si="2"/>
        <v>0.10000000000000009</v>
      </c>
      <c r="M4">
        <f t="shared" si="2"/>
        <v>9.000000000000008E-2</v>
      </c>
      <c r="N4">
        <f t="shared" si="2"/>
        <v>8.0000000000000071E-2</v>
      </c>
      <c r="O4">
        <f t="shared" si="2"/>
        <v>7.0000000000000062E-2</v>
      </c>
      <c r="P4">
        <f t="shared" si="2"/>
        <v>6.0000000000000053E-2</v>
      </c>
      <c r="Q4">
        <f t="shared" si="2"/>
        <v>5.0000000000000044E-2</v>
      </c>
      <c r="R4">
        <f t="shared" si="2"/>
        <v>4.0000000000000036E-2</v>
      </c>
      <c r="S4">
        <f t="shared" si="2"/>
        <v>3.0000000000000027E-2</v>
      </c>
    </row>
    <row r="5" spans="1:19" x14ac:dyDescent="0.25">
      <c r="B5" t="s">
        <v>0</v>
      </c>
      <c r="C5" s="1">
        <f>C6*B2</f>
        <v>0.34739999999999999</v>
      </c>
      <c r="H5">
        <f>H3/H4</f>
        <v>1</v>
      </c>
      <c r="I5">
        <f t="shared" ref="I5:S5" si="3">I3/I4</f>
        <v>1.4999999999999998</v>
      </c>
      <c r="J5">
        <f t="shared" si="3"/>
        <v>2.333333333333333</v>
      </c>
      <c r="K5">
        <f t="shared" si="3"/>
        <v>3.9999999999999982</v>
      </c>
      <c r="L5">
        <f t="shared" si="3"/>
        <v>8.9999999999999911</v>
      </c>
      <c r="M5">
        <f t="shared" si="3"/>
        <v>10.111111111111102</v>
      </c>
      <c r="N5">
        <f t="shared" si="3"/>
        <v>11.499999999999989</v>
      </c>
      <c r="O5">
        <f t="shared" si="3"/>
        <v>13.285714285714272</v>
      </c>
      <c r="P5">
        <f t="shared" si="3"/>
        <v>15.666666666666652</v>
      </c>
      <c r="Q5">
        <f t="shared" si="3"/>
        <v>18.999999999999982</v>
      </c>
      <c r="R5">
        <f t="shared" si="3"/>
        <v>23.999999999999979</v>
      </c>
      <c r="S5">
        <f t="shared" si="3"/>
        <v>32.333333333333307</v>
      </c>
    </row>
    <row r="6" spans="1:19" x14ac:dyDescent="0.25">
      <c r="B6" t="s">
        <v>1</v>
      </c>
      <c r="C6" s="5">
        <v>1.5</v>
      </c>
      <c r="D6" t="s">
        <v>5</v>
      </c>
      <c r="E6">
        <f>1-B2</f>
        <v>0.76839999999999997</v>
      </c>
    </row>
    <row r="7" spans="1:19" x14ac:dyDescent="0.25">
      <c r="B7" t="s">
        <v>2</v>
      </c>
      <c r="C7">
        <f>C5/C6</f>
        <v>0.2316</v>
      </c>
    </row>
    <row r="8" spans="1:19" x14ac:dyDescent="0.25">
      <c r="E8" s="2">
        <f>C5/C6-1</f>
        <v>-0.76839999999999997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Duy Nguyen</dc:creator>
  <cp:lastModifiedBy>Khanh Duy Nguyen</cp:lastModifiedBy>
  <dcterms:created xsi:type="dcterms:W3CDTF">2020-04-03T03:56:35Z</dcterms:created>
  <dcterms:modified xsi:type="dcterms:W3CDTF">2020-04-03T06:49:40Z</dcterms:modified>
</cp:coreProperties>
</file>