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TOR ĐÁNH GIÁ" sheetId="1" r:id="rId4"/>
    <sheet state="visible" name="LEADER ĐÁNH GIÁ" sheetId="2" r:id="rId5"/>
    <sheet state="visible" name="BẢN THÂN ĐÁNH GIÁ" sheetId="3" r:id="rId6"/>
    <sheet state="visible" name="ĐỒNG NGHIỆP ĐÁNH GIÁ" sheetId="4" r:id="rId7"/>
    <sheet state="visible" name="DOANH NGHIỆP ĐÁNH GIÁ" sheetId="5" r:id="rId8"/>
    <sheet state="visible" name="TÍNH ĐIỂM TỔNG ĐIỂM" sheetId="6" r:id="rId9"/>
  </sheets>
  <definedNames/>
  <calcPr/>
</workbook>
</file>

<file path=xl/sharedStrings.xml><?xml version="1.0" encoding="utf-8"?>
<sst xmlns="http://schemas.openxmlformats.org/spreadsheetml/2006/main" count="345" uniqueCount="52">
  <si>
    <t>TIÊU CHÍ ĐÁNH GIÁ CỘNG TÁC VIÊN VSM</t>
  </si>
  <si>
    <t xml:space="preserve">Mentor đánh giá </t>
  </si>
  <si>
    <t>STT</t>
  </si>
  <si>
    <t>Họ và tên</t>
  </si>
  <si>
    <t>Ngày sinh</t>
  </si>
  <si>
    <t>Ngày vào</t>
  </si>
  <si>
    <t>Chức vụ</t>
  </si>
  <si>
    <t>Tiêu chí</t>
  </si>
  <si>
    <t>Thái Độ</t>
  </si>
  <si>
    <t>Kĩ năng</t>
  </si>
  <si>
    <t>Kiến thức</t>
  </si>
  <si>
    <t>Tổng điểm 3 tiêu chí</t>
  </si>
  <si>
    <t>Mô tả</t>
  </si>
  <si>
    <t xml:space="preserve">Đúng giờ,thực hiện đúng nội quy </t>
  </si>
  <si>
    <t>Cư xử đúng mực,thái độ tôn trọng</t>
  </si>
  <si>
    <t>Có ý chí cầu tiến,chịu được áp lực công việc cao</t>
  </si>
  <si>
    <t>Kỹ năng giao tiếp        Kỹ năng tiếp nhận công việc                   Kỹ năng trình bày</t>
  </si>
  <si>
    <t>Kĩ năng quản lý thời gian và ưu tiên công việc một cách hiệu quả</t>
  </si>
  <si>
    <t>Kỹ năng chuyên môn</t>
  </si>
  <si>
    <t>Kỹ năng tự học,tự phát triển bản thân</t>
  </si>
  <si>
    <t xml:space="preserve">Kiến thức tiếng anh,tin học văn phòng </t>
  </si>
  <si>
    <t>Kiến thức về nghiệp vụ chuyên môn</t>
  </si>
  <si>
    <t>Kiến thức cốt lõi công ty(văn hóa,phòng ban,..)</t>
  </si>
  <si>
    <t>THÁI ĐỘ</t>
  </si>
  <si>
    <t>KỸ NĂNG</t>
  </si>
  <si>
    <t>KIẾN THỨC</t>
  </si>
  <si>
    <t>TỔNG ĐIỂM</t>
  </si>
  <si>
    <t>Phạm Lê Đăng Khoa</t>
  </si>
  <si>
    <t>Trưởng phòng nhân sự</t>
  </si>
  <si>
    <t>Thang đánh giá</t>
  </si>
  <si>
    <t>Quách Thành Long</t>
  </si>
  <si>
    <t xml:space="preserve">Nhân viên </t>
  </si>
  <si>
    <t>Nguyễn Thái Thanh Vy</t>
  </si>
  <si>
    <t>Trịnh Nam Thuận</t>
  </si>
  <si>
    <t>Đang kiểm tra</t>
  </si>
  <si>
    <t xml:space="preserve">Leader đánh giá </t>
  </si>
  <si>
    <t>Hòa nhã,tôn trọng và giúp đỡ nhóm</t>
  </si>
  <si>
    <t>Nghiêm túc với công việc và tiến độ đề ra</t>
  </si>
  <si>
    <t>Kỹ năng tương tác nhóm           Kỹ năng lên kế hoạch</t>
  </si>
  <si>
    <t xml:space="preserve">Bản thân đánh giá </t>
  </si>
  <si>
    <t>Đúng giờ,thực hiện đúng nội quy định công ty và nhóm</t>
  </si>
  <si>
    <t>Lịch sự,tôn trọng và sẵn sàng giúp đỡ mọi người</t>
  </si>
  <si>
    <t>Mong muốn phát triển bản thân và góp phần xây dựng team</t>
  </si>
  <si>
    <t>Kĩ năng quản lý thời gian và ưu tiên công việc hiệu quả</t>
  </si>
  <si>
    <t xml:space="preserve">Đồng nghiệp đánh giá </t>
  </si>
  <si>
    <t xml:space="preserve">Doanh nghiệp đánh giá </t>
  </si>
  <si>
    <t>Chấp hành đúng nội quy và yêu cầu văn hóa văn phòng</t>
  </si>
  <si>
    <t xml:space="preserve">TÍNH TỔNG ĐIỂM VÀ QUY ĐỔI PHẦN TRĂM </t>
  </si>
  <si>
    <t>Thời gian làm việc(ngày)</t>
  </si>
  <si>
    <t>Tổng điểm số</t>
  </si>
  <si>
    <t>Điểm phần trăm</t>
  </si>
  <si>
    <t xml:space="preserve">Kết quả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</si>
</sst>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2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1F1F1F"/>
      <name val="&quot;Google Sans&quot;"/>
    </font>
    <font/>
    <font>
      <b/>
      <sz val="12.0"/>
      <color theme="1"/>
      <name val="Arial"/>
      <scheme val="minor"/>
    </font>
    <font>
      <sz val="14.0"/>
      <color theme="1"/>
      <name val="Times New Roman"/>
    </font>
    <font>
      <b/>
      <sz val="14.0"/>
      <color rgb="FF000000"/>
      <name val="Times New Roman"/>
    </font>
    <font>
      <b/>
      <sz val="14.0"/>
      <color theme="1"/>
      <name val="Times New Roman"/>
    </font>
    <font>
      <sz val="14.0"/>
      <color theme="1"/>
      <name val="Arial"/>
      <scheme val="minor"/>
    </font>
    <font>
      <sz val="14.0"/>
      <color rgb="FF000000"/>
      <name val="Times New Roman"/>
    </font>
    <font>
      <sz val="12.0"/>
      <color rgb="FF000000"/>
      <name val="Times New Roman"/>
    </font>
    <font>
      <sz val="12.0"/>
      <color theme="1"/>
      <name val="Times New Roman"/>
    </font>
    <font>
      <sz val="9.0"/>
      <color rgb="FF1F1F1F"/>
      <name val="&quot;Google Sans&quot;"/>
    </font>
    <font>
      <b/>
      <sz val="17.0"/>
      <color theme="1"/>
      <name val="Times New Roman"/>
    </font>
    <font>
      <sz val="11.0"/>
      <color rgb="FF000000"/>
      <name val="Calibri"/>
    </font>
    <font>
      <sz val="9.0"/>
      <color rgb="FF000000"/>
      <name val="&quot;Google Sans Mono&quot;"/>
    </font>
    <font>
      <b/>
      <sz val="18.0"/>
      <color theme="1"/>
      <name val="Times New Roman"/>
    </font>
    <font>
      <b/>
      <sz val="13.0"/>
      <color theme="1"/>
      <name val="Times New Roman"/>
    </font>
    <font>
      <color theme="1"/>
      <name val="Arial"/>
    </font>
    <font>
      <b/>
      <sz val="15.0"/>
      <color theme="1"/>
      <name val="Times New Roman"/>
    </font>
    <font>
      <sz val="15.0"/>
      <color rgb="FF444746"/>
      <name val="&quot;Times New Roman&quot;"/>
    </font>
    <font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9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readingOrder="0"/>
    </xf>
    <xf borderId="1" fillId="0" fontId="3" numFmtId="0" xfId="0" applyBorder="1" applyFont="1"/>
    <xf borderId="2" fillId="0" fontId="3" numFmtId="0" xfId="0" applyBorder="1" applyFont="1"/>
    <xf borderId="0" fillId="3" fontId="4" numFmtId="0" xfId="0" applyAlignment="1" applyFill="1" applyFont="1">
      <alignment horizontal="center" readingOrder="0"/>
    </xf>
    <xf borderId="0" fillId="0" fontId="5" numFmtId="0" xfId="0" applyAlignment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readingOrder="0" shrinkToFit="0" vertical="center" wrapText="0"/>
    </xf>
    <xf borderId="4" fillId="0" fontId="6" numFmtId="0" xfId="0" applyAlignment="1" applyBorder="1" applyFont="1">
      <alignment horizontal="center" readingOrder="0" shrinkToFit="0" vertical="center" wrapText="0"/>
    </xf>
    <xf borderId="5" fillId="4" fontId="6" numFmtId="0" xfId="0" applyAlignment="1" applyBorder="1" applyFill="1" applyFont="1">
      <alignment horizontal="center" readingOrder="0" shrinkToFit="0" vertical="center" wrapText="0"/>
    </xf>
    <xf borderId="6" fillId="0" fontId="3" numFmtId="0" xfId="0" applyBorder="1" applyFont="1"/>
    <xf borderId="7" fillId="0" fontId="3" numFmtId="0" xfId="0" applyBorder="1" applyFont="1"/>
    <xf borderId="5" fillId="3" fontId="7" numFmtId="0" xfId="0" applyAlignment="1" applyBorder="1" applyFont="1">
      <alignment horizontal="center" readingOrder="0"/>
    </xf>
    <xf borderId="5" fillId="4" fontId="8" numFmtId="0" xfId="0" applyAlignment="1" applyBorder="1" applyFont="1">
      <alignment horizontal="center" readingOrder="0"/>
    </xf>
    <xf borderId="5" fillId="3" fontId="7" numFmtId="0" xfId="0" applyAlignment="1" applyBorder="1" applyFont="1">
      <alignment horizontal="center" readingOrder="0" vertical="center"/>
    </xf>
    <xf borderId="8" fillId="0" fontId="3" numFmtId="0" xfId="0" applyBorder="1" applyFont="1"/>
    <xf borderId="4" fillId="0" fontId="9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2" fontId="9" numFmtId="0" xfId="0" applyAlignment="1" applyBorder="1" applyFont="1">
      <alignment horizontal="center" readingOrder="0" shrinkToFit="0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readingOrder="0" shrinkToFit="0" vertical="center" wrapText="1"/>
    </xf>
    <xf borderId="4" fillId="0" fontId="10" numFmtId="0" xfId="0" applyAlignment="1" applyBorder="1" applyFont="1">
      <alignment horizontal="center" readingOrder="0" shrinkToFit="0" vertical="bottom" wrapText="0"/>
    </xf>
    <xf borderId="4" fillId="0" fontId="10" numFmtId="0" xfId="0" applyAlignment="1" applyBorder="1" applyFont="1">
      <alignment readingOrder="0" shrinkToFit="0" vertical="bottom" wrapText="0"/>
    </xf>
    <xf borderId="4" fillId="0" fontId="10" numFmtId="164" xfId="0" applyAlignment="1" applyBorder="1" applyFont="1" applyNumberFormat="1">
      <alignment readingOrder="0" shrinkToFit="0" vertical="bottom" wrapText="0"/>
    </xf>
    <xf borderId="4" fillId="0" fontId="10" numFmtId="0" xfId="0" applyAlignment="1" applyBorder="1" applyFont="1">
      <alignment horizontal="center" readingOrder="0" shrinkToFit="0" wrapText="0"/>
    </xf>
    <xf borderId="0" fillId="0" fontId="11" numFmtId="0" xfId="0" applyFont="1"/>
    <xf borderId="4" fillId="2" fontId="10" numFmtId="0" xfId="0" applyBorder="1" applyFont="1"/>
    <xf borderId="4" fillId="0" fontId="11" numFmtId="0" xfId="0" applyBorder="1" applyFont="1"/>
    <xf borderId="4" fillId="0" fontId="11" numFmtId="0" xfId="0" applyAlignment="1" applyBorder="1" applyFont="1">
      <alignment readingOrder="0"/>
    </xf>
    <xf borderId="4" fillId="0" fontId="10" numFmtId="0" xfId="0" applyAlignment="1" applyBorder="1" applyFont="1">
      <alignment shrinkToFit="0" vertical="bottom" wrapText="0"/>
    </xf>
    <xf borderId="0" fillId="0" fontId="11" numFmtId="0" xfId="0" applyAlignment="1" applyFont="1">
      <alignment horizontal="center"/>
    </xf>
    <xf borderId="0" fillId="2" fontId="12" numFmtId="0" xfId="0" applyAlignment="1" applyFont="1">
      <alignment readingOrder="0"/>
    </xf>
    <xf borderId="6" fillId="4" fontId="13" numFmtId="0" xfId="0" applyAlignment="1" applyBorder="1" applyFont="1">
      <alignment horizontal="center" readingOrder="0"/>
    </xf>
    <xf borderId="7" fillId="4" fontId="13" numFmtId="0" xfId="0" applyAlignment="1" applyBorder="1" applyFont="1">
      <alignment horizontal="center" readingOrder="0"/>
    </xf>
    <xf borderId="4" fillId="0" fontId="14" numFmtId="0" xfId="0" applyAlignment="1" applyBorder="1" applyFont="1">
      <alignment horizontal="center" readingOrder="0" shrinkToFit="0" vertical="bottom" wrapText="0"/>
    </xf>
    <xf borderId="4" fillId="2" fontId="15" numFmtId="0" xfId="0" applyBorder="1" applyFont="1"/>
    <xf borderId="4" fillId="0" fontId="1" numFmtId="0" xfId="0" applyBorder="1" applyFont="1"/>
    <xf borderId="4" fillId="0" fontId="1" numFmtId="0" xfId="0" applyAlignment="1" applyBorder="1" applyFont="1">
      <alignment readingOrder="0"/>
    </xf>
    <xf borderId="5" fillId="4" fontId="13" numFmtId="0" xfId="0" applyAlignment="1" applyBorder="1" applyFont="1">
      <alignment horizontal="center" readingOrder="0"/>
    </xf>
    <xf borderId="3" fillId="2" fontId="6" numFmtId="0" xfId="0" applyAlignment="1" applyBorder="1" applyFont="1">
      <alignment horizontal="center" readingOrder="0" shrinkToFit="0" vertical="center" wrapText="0"/>
    </xf>
    <xf borderId="4" fillId="2" fontId="9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horizontal="center" readingOrder="0"/>
    </xf>
    <xf borderId="6" fillId="4" fontId="16" numFmtId="0" xfId="0" applyAlignment="1" applyBorder="1" applyFont="1">
      <alignment horizontal="center" readingOrder="0"/>
    </xf>
    <xf borderId="7" fillId="4" fontId="16" numFmtId="0" xfId="0" applyAlignment="1" applyBorder="1" applyFont="1">
      <alignment horizontal="center" readingOrder="0"/>
    </xf>
    <xf borderId="6" fillId="4" fontId="7" numFmtId="0" xfId="0" applyAlignment="1" applyBorder="1" applyFont="1">
      <alignment horizontal="center" vertical="bottom"/>
    </xf>
    <xf borderId="6" fillId="5" fontId="7" numFmtId="0" xfId="0" applyAlignment="1" applyBorder="1" applyFill="1" applyFont="1">
      <alignment horizontal="center" vertical="bottom"/>
    </xf>
    <xf borderId="7" fillId="5" fontId="7" numFmtId="0" xfId="0" applyAlignment="1" applyBorder="1" applyFont="1">
      <alignment horizontal="center" vertical="bottom"/>
    </xf>
    <xf borderId="4" fillId="0" fontId="17" numFmtId="0" xfId="0" applyAlignment="1" applyBorder="1" applyFont="1">
      <alignment shrinkToFit="0" vertical="bottom" wrapText="1"/>
    </xf>
    <xf borderId="1" fillId="0" fontId="17" numFmtId="0" xfId="0" applyAlignment="1" applyBorder="1" applyFont="1">
      <alignment shrinkToFit="0" vertical="bottom" wrapText="1"/>
    </xf>
    <xf borderId="2" fillId="0" fontId="17" numFmtId="0" xfId="0" applyAlignment="1" applyBorder="1" applyFont="1">
      <alignment shrinkToFit="0" vertical="bottom" wrapText="1"/>
    </xf>
    <xf borderId="0" fillId="0" fontId="18" numFmtId="0" xfId="0" applyAlignment="1" applyFont="1">
      <alignment vertical="bottom"/>
    </xf>
    <xf borderId="4" fillId="3" fontId="19" numFmtId="0" xfId="0" applyAlignment="1" applyBorder="1" applyFont="1">
      <alignment horizontal="center" readingOrder="0" shrinkToFit="0" vertical="center" wrapText="1"/>
    </xf>
    <xf borderId="8" fillId="3" fontId="19" numFmtId="0" xfId="0" applyAlignment="1" applyBorder="1" applyFont="1">
      <alignment horizontal="center" shrinkToFit="0" vertical="center" wrapText="1"/>
    </xf>
    <xf borderId="2" fillId="3" fontId="19" numFmtId="0" xfId="0" applyAlignment="1" applyBorder="1" applyFont="1">
      <alignment horizontal="center" readingOrder="0" shrinkToFit="0" vertical="center" wrapText="1"/>
    </xf>
    <xf borderId="2" fillId="3" fontId="19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horizontal="left" readingOrder="0" shrinkToFit="0" vertical="center" wrapText="1"/>
    </xf>
    <xf borderId="4" fillId="0" fontId="5" numFmtId="0" xfId="0" applyAlignment="1" applyBorder="1" applyFont="1">
      <alignment readingOrder="0" vertical="bottom"/>
    </xf>
    <xf borderId="4" fillId="0" fontId="9" numFmtId="0" xfId="0" applyAlignment="1" applyBorder="1" applyFont="1">
      <alignment readingOrder="0" shrinkToFit="0" vertical="bottom" wrapText="0"/>
    </xf>
    <xf borderId="2" fillId="0" fontId="5" numFmtId="1" xfId="0" applyAlignment="1" applyBorder="1" applyFont="1" applyNumberFormat="1">
      <alignment horizontal="right" vertical="bottom"/>
    </xf>
    <xf borderId="2" fillId="0" fontId="5" numFmtId="2" xfId="0" applyAlignment="1" applyBorder="1" applyFont="1" applyNumberFormat="1">
      <alignment vertical="bottom"/>
    </xf>
    <xf borderId="2" fillId="0" fontId="5" numFmtId="2" xfId="0" applyAlignment="1" applyBorder="1" applyFont="1" applyNumberFormat="1">
      <alignment shrinkToFit="0" vertical="bottom" wrapText="1"/>
    </xf>
    <xf borderId="8" fillId="0" fontId="5" numFmtId="0" xfId="0" applyAlignment="1" applyBorder="1" applyFont="1">
      <alignment vertical="bottom"/>
    </xf>
    <xf borderId="2" fillId="0" fontId="5" numFmtId="0" xfId="0" applyAlignment="1" applyBorder="1" applyFont="1">
      <alignment vertical="bottom"/>
    </xf>
    <xf borderId="0" fillId="0" fontId="21" numFmtId="0" xfId="0" applyFont="1"/>
    <xf borderId="0" fillId="2" fontId="7" numFmtId="0" xfId="0" applyAlignment="1" applyFont="1">
      <alignment horizontal="center" readingOrder="0"/>
    </xf>
    <xf borderId="0" fillId="0" fontId="17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75"/>
  <cols>
    <col customWidth="1" min="1" max="1" width="5.63"/>
    <col customWidth="1" min="2" max="2" width="22.25"/>
    <col customWidth="1" min="5" max="5" width="28.25"/>
    <col customWidth="1" min="6" max="6" width="13.75"/>
    <col customWidth="1" min="7" max="7" width="18.88"/>
    <col customWidth="1" min="8" max="8" width="18.5"/>
    <col customWidth="1" min="9" max="9" width="15.5"/>
    <col customWidth="1" min="10" max="10" width="19.5"/>
    <col customWidth="1" min="11" max="11" width="13.88"/>
    <col customWidth="1" min="12" max="13" width="14.13"/>
    <col customWidth="1" min="14" max="14" width="13.63"/>
    <col customWidth="1" min="16" max="16" width="13.38"/>
  </cols>
  <sheetData>
    <row r="1">
      <c r="A1" s="1"/>
      <c r="F1" s="2" t="s">
        <v>0</v>
      </c>
      <c r="G1" s="3"/>
      <c r="H1" s="3"/>
      <c r="I1" s="3"/>
      <c r="J1" s="3"/>
      <c r="K1" s="4"/>
    </row>
    <row r="2">
      <c r="A2" s="1"/>
      <c r="H2" s="5" t="s">
        <v>1</v>
      </c>
      <c r="L2" s="6"/>
      <c r="M2" s="6"/>
    </row>
    <row r="3">
      <c r="A3" s="1"/>
    </row>
    <row r="4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9" t="s">
        <v>8</v>
      </c>
      <c r="H4" s="10"/>
      <c r="I4" s="11"/>
      <c r="J4" s="12" t="s">
        <v>9</v>
      </c>
      <c r="K4" s="10"/>
      <c r="L4" s="10"/>
      <c r="M4" s="11"/>
      <c r="N4" s="13" t="s">
        <v>10</v>
      </c>
      <c r="O4" s="10"/>
      <c r="P4" s="11"/>
      <c r="R4" s="14" t="s">
        <v>11</v>
      </c>
      <c r="S4" s="10"/>
      <c r="T4" s="10"/>
      <c r="U4" s="11"/>
    </row>
    <row r="5" ht="112.5" customHeight="1">
      <c r="A5" s="15"/>
      <c r="B5" s="15"/>
      <c r="C5" s="15"/>
      <c r="D5" s="15"/>
      <c r="E5" s="15"/>
      <c r="F5" s="8" t="s">
        <v>12</v>
      </c>
      <c r="G5" s="16" t="s">
        <v>13</v>
      </c>
      <c r="H5" s="16" t="s">
        <v>14</v>
      </c>
      <c r="I5" s="16" t="s">
        <v>15</v>
      </c>
      <c r="J5" s="17" t="s">
        <v>16</v>
      </c>
      <c r="K5" s="18" t="s">
        <v>17</v>
      </c>
      <c r="L5" s="17" t="s">
        <v>18</v>
      </c>
      <c r="M5" s="17" t="s">
        <v>19</v>
      </c>
      <c r="N5" s="17" t="s">
        <v>20</v>
      </c>
      <c r="O5" s="17" t="s">
        <v>21</v>
      </c>
      <c r="P5" s="17" t="s">
        <v>22</v>
      </c>
      <c r="R5" s="19" t="s">
        <v>23</v>
      </c>
      <c r="S5" s="19" t="s">
        <v>24</v>
      </c>
      <c r="T5" s="19" t="s">
        <v>25</v>
      </c>
      <c r="U5" s="20" t="s">
        <v>26</v>
      </c>
    </row>
    <row r="6">
      <c r="A6" s="21">
        <v>1.0</v>
      </c>
      <c r="B6" s="22" t="s">
        <v>27</v>
      </c>
      <c r="C6" s="23"/>
      <c r="D6" s="22">
        <v>2023.0</v>
      </c>
      <c r="E6" s="22" t="s">
        <v>28</v>
      </c>
      <c r="F6" s="22" t="s">
        <v>29</v>
      </c>
      <c r="G6" s="24">
        <v>4.0</v>
      </c>
      <c r="H6" s="24">
        <v>4.0</v>
      </c>
      <c r="I6" s="24">
        <v>5.0</v>
      </c>
      <c r="J6" s="24">
        <v>5.0</v>
      </c>
      <c r="K6" s="24">
        <v>5.0</v>
      </c>
      <c r="L6" s="24">
        <v>4.0</v>
      </c>
      <c r="M6" s="24">
        <v>4.0</v>
      </c>
      <c r="N6" s="24">
        <v>4.0</v>
      </c>
      <c r="O6" s="24">
        <v>4.0</v>
      </c>
      <c r="P6" s="24">
        <v>5.0</v>
      </c>
      <c r="Q6" s="25"/>
      <c r="R6" s="26">
        <f t="shared" ref="R6:R21" si="1">SUM(G6:I6)</f>
        <v>13</v>
      </c>
      <c r="S6" s="27">
        <f t="shared" ref="S6:S21" si="2">SUM(J6:M6)</f>
        <v>18</v>
      </c>
      <c r="T6" s="28">
        <f t="shared" ref="T6:T21" si="3">SUM(N6:P6)</f>
        <v>13</v>
      </c>
      <c r="U6" s="27">
        <f t="shared" ref="U6:U21" si="4">SUM(R6:T6)</f>
        <v>44</v>
      </c>
      <c r="V6" s="25"/>
      <c r="W6" s="25"/>
    </row>
    <row r="7">
      <c r="A7" s="21">
        <v>2.0</v>
      </c>
      <c r="B7" s="22" t="s">
        <v>30</v>
      </c>
      <c r="C7" s="29"/>
      <c r="D7" s="22">
        <v>2023.0</v>
      </c>
      <c r="E7" s="22" t="s">
        <v>31</v>
      </c>
      <c r="F7" s="22" t="s">
        <v>29</v>
      </c>
      <c r="G7" s="24">
        <v>4.0</v>
      </c>
      <c r="H7" s="24">
        <v>4.0</v>
      </c>
      <c r="I7" s="24">
        <v>5.0</v>
      </c>
      <c r="J7" s="24">
        <v>5.0</v>
      </c>
      <c r="K7" s="24">
        <v>5.0</v>
      </c>
      <c r="L7" s="24">
        <v>3.0</v>
      </c>
      <c r="M7" s="24">
        <v>4.0</v>
      </c>
      <c r="N7" s="24">
        <v>4.0</v>
      </c>
      <c r="O7" s="24">
        <v>4.0</v>
      </c>
      <c r="P7" s="24">
        <v>5.0</v>
      </c>
      <c r="Q7" s="25"/>
      <c r="R7" s="26">
        <f t="shared" si="1"/>
        <v>13</v>
      </c>
      <c r="S7" s="27">
        <f t="shared" si="2"/>
        <v>17</v>
      </c>
      <c r="T7" s="28">
        <f t="shared" si="3"/>
        <v>13</v>
      </c>
      <c r="U7" s="27">
        <f t="shared" si="4"/>
        <v>43</v>
      </c>
      <c r="V7" s="25"/>
      <c r="W7" s="25"/>
    </row>
    <row r="8">
      <c r="A8" s="21">
        <v>3.0</v>
      </c>
      <c r="B8" s="22" t="s">
        <v>32</v>
      </c>
      <c r="C8" s="29"/>
      <c r="D8" s="22">
        <v>2023.0</v>
      </c>
      <c r="E8" s="22" t="s">
        <v>31</v>
      </c>
      <c r="F8" s="22" t="s">
        <v>29</v>
      </c>
      <c r="G8" s="24">
        <v>5.0</v>
      </c>
      <c r="H8" s="24">
        <v>4.0</v>
      </c>
      <c r="I8" s="24">
        <v>5.0</v>
      </c>
      <c r="J8" s="24">
        <v>5.0</v>
      </c>
      <c r="K8" s="24">
        <v>5.0</v>
      </c>
      <c r="L8" s="24">
        <v>4.0</v>
      </c>
      <c r="M8" s="24">
        <v>4.0</v>
      </c>
      <c r="N8" s="24">
        <v>4.0</v>
      </c>
      <c r="O8" s="24">
        <v>4.0</v>
      </c>
      <c r="P8" s="24">
        <v>5.0</v>
      </c>
      <c r="Q8" s="25"/>
      <c r="R8" s="26">
        <f t="shared" si="1"/>
        <v>14</v>
      </c>
      <c r="S8" s="27">
        <f t="shared" si="2"/>
        <v>18</v>
      </c>
      <c r="T8" s="28">
        <f t="shared" si="3"/>
        <v>13</v>
      </c>
      <c r="U8" s="27">
        <f t="shared" si="4"/>
        <v>45</v>
      </c>
      <c r="V8" s="25"/>
      <c r="W8" s="25"/>
    </row>
    <row r="9">
      <c r="A9" s="21">
        <v>4.0</v>
      </c>
      <c r="B9" s="22" t="s">
        <v>33</v>
      </c>
      <c r="C9" s="29"/>
      <c r="D9" s="22">
        <v>2023.0</v>
      </c>
      <c r="E9" s="22" t="s">
        <v>31</v>
      </c>
      <c r="F9" s="22" t="s">
        <v>29</v>
      </c>
      <c r="G9" s="24">
        <v>5.0</v>
      </c>
      <c r="H9" s="24">
        <v>4.0</v>
      </c>
      <c r="I9" s="24">
        <v>5.0</v>
      </c>
      <c r="J9" s="24">
        <v>5.0</v>
      </c>
      <c r="K9" s="24">
        <v>5.0</v>
      </c>
      <c r="L9" s="24">
        <v>5.0</v>
      </c>
      <c r="M9" s="24">
        <v>4.0</v>
      </c>
      <c r="N9" s="24">
        <v>4.0</v>
      </c>
      <c r="O9" s="24">
        <v>4.0</v>
      </c>
      <c r="P9" s="24">
        <v>5.0</v>
      </c>
      <c r="Q9" s="25"/>
      <c r="R9" s="26">
        <f t="shared" si="1"/>
        <v>14</v>
      </c>
      <c r="S9" s="27">
        <f t="shared" si="2"/>
        <v>19</v>
      </c>
      <c r="T9" s="28">
        <f t="shared" si="3"/>
        <v>13</v>
      </c>
      <c r="U9" s="27">
        <f t="shared" si="4"/>
        <v>46</v>
      </c>
      <c r="V9" s="25"/>
      <c r="W9" s="25"/>
    </row>
    <row r="10">
      <c r="A10" s="21">
        <v>5.0</v>
      </c>
      <c r="B10" s="29"/>
      <c r="C10" s="29"/>
      <c r="D10" s="29"/>
      <c r="E10" s="22" t="s">
        <v>34</v>
      </c>
      <c r="F10" s="22" t="s">
        <v>29</v>
      </c>
      <c r="G10" s="24">
        <v>0.0</v>
      </c>
      <c r="H10" s="24">
        <v>0.0</v>
      </c>
      <c r="I10" s="24">
        <v>0.0</v>
      </c>
      <c r="J10" s="24">
        <v>0.0</v>
      </c>
      <c r="K10" s="24">
        <v>0.0</v>
      </c>
      <c r="L10" s="24">
        <v>0.0</v>
      </c>
      <c r="M10" s="24">
        <v>0.0</v>
      </c>
      <c r="N10" s="24">
        <v>0.0</v>
      </c>
      <c r="O10" s="24">
        <v>0.0</v>
      </c>
      <c r="P10" s="24"/>
      <c r="Q10" s="25"/>
      <c r="R10" s="26">
        <f t="shared" si="1"/>
        <v>0</v>
      </c>
      <c r="S10" s="27">
        <f t="shared" si="2"/>
        <v>0</v>
      </c>
      <c r="T10" s="28">
        <f t="shared" si="3"/>
        <v>0</v>
      </c>
      <c r="U10" s="27">
        <f t="shared" si="4"/>
        <v>0</v>
      </c>
      <c r="V10" s="25"/>
      <c r="W10" s="25"/>
    </row>
    <row r="11">
      <c r="A11" s="21">
        <v>6.0</v>
      </c>
      <c r="B11" s="29"/>
      <c r="C11" s="29"/>
      <c r="D11" s="29"/>
      <c r="E11" s="22" t="s">
        <v>34</v>
      </c>
      <c r="F11" s="22" t="s">
        <v>29</v>
      </c>
      <c r="G11" s="24">
        <v>0.0</v>
      </c>
      <c r="H11" s="24">
        <v>0.0</v>
      </c>
      <c r="I11" s="24">
        <v>0.0</v>
      </c>
      <c r="J11" s="24">
        <v>0.0</v>
      </c>
      <c r="K11" s="24">
        <v>0.0</v>
      </c>
      <c r="L11" s="24">
        <v>0.0</v>
      </c>
      <c r="M11" s="24">
        <v>0.0</v>
      </c>
      <c r="N11" s="24">
        <v>0.0</v>
      </c>
      <c r="O11" s="24">
        <v>0.0</v>
      </c>
      <c r="P11" s="24">
        <v>0.0</v>
      </c>
      <c r="Q11" s="25"/>
      <c r="R11" s="26">
        <f t="shared" si="1"/>
        <v>0</v>
      </c>
      <c r="S11" s="27">
        <f t="shared" si="2"/>
        <v>0</v>
      </c>
      <c r="T11" s="28">
        <f t="shared" si="3"/>
        <v>0</v>
      </c>
      <c r="U11" s="27">
        <f t="shared" si="4"/>
        <v>0</v>
      </c>
      <c r="V11" s="25"/>
      <c r="W11" s="25"/>
    </row>
    <row r="12">
      <c r="A12" s="21">
        <v>7.0</v>
      </c>
      <c r="B12" s="29"/>
      <c r="C12" s="29"/>
      <c r="D12" s="29"/>
      <c r="E12" s="22" t="s">
        <v>34</v>
      </c>
      <c r="F12" s="22" t="s">
        <v>29</v>
      </c>
      <c r="G12" s="24">
        <v>0.0</v>
      </c>
      <c r="H12" s="24">
        <v>0.0</v>
      </c>
      <c r="I12" s="24">
        <v>0.0</v>
      </c>
      <c r="J12" s="24">
        <v>0.0</v>
      </c>
      <c r="K12" s="24">
        <v>0.0</v>
      </c>
      <c r="L12" s="24">
        <v>0.0</v>
      </c>
      <c r="M12" s="24">
        <v>0.0</v>
      </c>
      <c r="N12" s="24">
        <v>0.0</v>
      </c>
      <c r="O12" s="24">
        <v>0.0</v>
      </c>
      <c r="P12" s="24">
        <v>0.0</v>
      </c>
      <c r="Q12" s="25"/>
      <c r="R12" s="26">
        <f t="shared" si="1"/>
        <v>0</v>
      </c>
      <c r="S12" s="27">
        <f t="shared" si="2"/>
        <v>0</v>
      </c>
      <c r="T12" s="28">
        <f t="shared" si="3"/>
        <v>0</v>
      </c>
      <c r="U12" s="27">
        <f t="shared" si="4"/>
        <v>0</v>
      </c>
      <c r="V12" s="25"/>
      <c r="W12" s="25"/>
    </row>
    <row r="13">
      <c r="A13" s="21">
        <v>8.0</v>
      </c>
      <c r="B13" s="29"/>
      <c r="C13" s="29"/>
      <c r="D13" s="29"/>
      <c r="E13" s="22" t="s">
        <v>34</v>
      </c>
      <c r="F13" s="22" t="s">
        <v>29</v>
      </c>
      <c r="G13" s="24">
        <v>0.0</v>
      </c>
      <c r="H13" s="24">
        <v>0.0</v>
      </c>
      <c r="I13" s="24">
        <v>0.0</v>
      </c>
      <c r="J13" s="24">
        <v>0.0</v>
      </c>
      <c r="K13" s="24">
        <v>0.0</v>
      </c>
      <c r="L13" s="24">
        <v>0.0</v>
      </c>
      <c r="M13" s="24">
        <v>0.0</v>
      </c>
      <c r="N13" s="24">
        <v>0.0</v>
      </c>
      <c r="O13" s="24">
        <v>0.0</v>
      </c>
      <c r="P13" s="24">
        <v>0.0</v>
      </c>
      <c r="Q13" s="25"/>
      <c r="R13" s="26">
        <f t="shared" si="1"/>
        <v>0</v>
      </c>
      <c r="S13" s="27">
        <f t="shared" si="2"/>
        <v>0</v>
      </c>
      <c r="T13" s="28">
        <f t="shared" si="3"/>
        <v>0</v>
      </c>
      <c r="U13" s="27">
        <f t="shared" si="4"/>
        <v>0</v>
      </c>
      <c r="V13" s="25"/>
      <c r="W13" s="25"/>
    </row>
    <row r="14">
      <c r="A14" s="21">
        <v>9.0</v>
      </c>
      <c r="B14" s="29"/>
      <c r="C14" s="29"/>
      <c r="D14" s="29"/>
      <c r="E14" s="22" t="s">
        <v>34</v>
      </c>
      <c r="F14" s="22" t="s">
        <v>29</v>
      </c>
      <c r="G14" s="24">
        <v>0.0</v>
      </c>
      <c r="H14" s="24">
        <v>0.0</v>
      </c>
      <c r="I14" s="24">
        <v>0.0</v>
      </c>
      <c r="J14" s="24">
        <v>0.0</v>
      </c>
      <c r="K14" s="24">
        <v>0.0</v>
      </c>
      <c r="L14" s="24">
        <v>0.0</v>
      </c>
      <c r="M14" s="24">
        <v>0.0</v>
      </c>
      <c r="N14" s="24">
        <v>0.0</v>
      </c>
      <c r="O14" s="24">
        <v>0.0</v>
      </c>
      <c r="P14" s="24">
        <v>0.0</v>
      </c>
      <c r="Q14" s="25"/>
      <c r="R14" s="26">
        <f t="shared" si="1"/>
        <v>0</v>
      </c>
      <c r="S14" s="27">
        <f t="shared" si="2"/>
        <v>0</v>
      </c>
      <c r="T14" s="28">
        <f t="shared" si="3"/>
        <v>0</v>
      </c>
      <c r="U14" s="27">
        <f t="shared" si="4"/>
        <v>0</v>
      </c>
      <c r="V14" s="25"/>
      <c r="W14" s="25"/>
    </row>
    <row r="15">
      <c r="A15" s="21">
        <v>10.0</v>
      </c>
      <c r="B15" s="29"/>
      <c r="C15" s="29"/>
      <c r="D15" s="29"/>
      <c r="E15" s="22" t="s">
        <v>34</v>
      </c>
      <c r="F15" s="22" t="s">
        <v>29</v>
      </c>
      <c r="G15" s="24">
        <v>0.0</v>
      </c>
      <c r="H15" s="24">
        <v>0.0</v>
      </c>
      <c r="I15" s="24">
        <v>0.0</v>
      </c>
      <c r="J15" s="24">
        <v>0.0</v>
      </c>
      <c r="K15" s="24">
        <v>0.0</v>
      </c>
      <c r="L15" s="24">
        <v>0.0</v>
      </c>
      <c r="M15" s="24">
        <v>0.0</v>
      </c>
      <c r="N15" s="24">
        <v>0.0</v>
      </c>
      <c r="O15" s="24">
        <v>0.0</v>
      </c>
      <c r="P15" s="24">
        <v>0.0</v>
      </c>
      <c r="Q15" s="25"/>
      <c r="R15" s="26">
        <f t="shared" si="1"/>
        <v>0</v>
      </c>
      <c r="S15" s="27">
        <f t="shared" si="2"/>
        <v>0</v>
      </c>
      <c r="T15" s="28">
        <f t="shared" si="3"/>
        <v>0</v>
      </c>
      <c r="U15" s="27">
        <f t="shared" si="4"/>
        <v>0</v>
      </c>
      <c r="V15" s="25"/>
      <c r="W15" s="25"/>
    </row>
    <row r="16">
      <c r="A16" s="21">
        <v>11.0</v>
      </c>
      <c r="B16" s="29"/>
      <c r="C16" s="29"/>
      <c r="D16" s="29"/>
      <c r="E16" s="22" t="s">
        <v>34</v>
      </c>
      <c r="F16" s="22" t="s">
        <v>29</v>
      </c>
      <c r="G16" s="24">
        <v>0.0</v>
      </c>
      <c r="H16" s="24">
        <v>0.0</v>
      </c>
      <c r="I16" s="24">
        <v>0.0</v>
      </c>
      <c r="J16" s="24">
        <v>0.0</v>
      </c>
      <c r="K16" s="24">
        <v>0.0</v>
      </c>
      <c r="L16" s="24">
        <v>0.0</v>
      </c>
      <c r="M16" s="24">
        <v>0.0</v>
      </c>
      <c r="N16" s="24">
        <v>0.0</v>
      </c>
      <c r="O16" s="24">
        <v>0.0</v>
      </c>
      <c r="P16" s="24">
        <v>0.0</v>
      </c>
      <c r="Q16" s="25"/>
      <c r="R16" s="26">
        <f t="shared" si="1"/>
        <v>0</v>
      </c>
      <c r="S16" s="27">
        <f t="shared" si="2"/>
        <v>0</v>
      </c>
      <c r="T16" s="28">
        <f t="shared" si="3"/>
        <v>0</v>
      </c>
      <c r="U16" s="27">
        <f t="shared" si="4"/>
        <v>0</v>
      </c>
      <c r="V16" s="25"/>
      <c r="W16" s="25"/>
    </row>
    <row r="17">
      <c r="A17" s="21">
        <v>12.0</v>
      </c>
      <c r="B17" s="29"/>
      <c r="C17" s="29"/>
      <c r="D17" s="29"/>
      <c r="E17" s="22" t="s">
        <v>34</v>
      </c>
      <c r="F17" s="22" t="s">
        <v>29</v>
      </c>
      <c r="G17" s="24">
        <v>0.0</v>
      </c>
      <c r="H17" s="24">
        <v>0.0</v>
      </c>
      <c r="I17" s="24">
        <v>0.0</v>
      </c>
      <c r="J17" s="24">
        <v>0.0</v>
      </c>
      <c r="K17" s="24">
        <v>0.0</v>
      </c>
      <c r="L17" s="24">
        <v>0.0</v>
      </c>
      <c r="M17" s="24">
        <v>0.0</v>
      </c>
      <c r="N17" s="24">
        <v>0.0</v>
      </c>
      <c r="O17" s="24">
        <v>0.0</v>
      </c>
      <c r="P17" s="24">
        <v>0.0</v>
      </c>
      <c r="Q17" s="25"/>
      <c r="R17" s="26">
        <f t="shared" si="1"/>
        <v>0</v>
      </c>
      <c r="S17" s="27">
        <f t="shared" si="2"/>
        <v>0</v>
      </c>
      <c r="T17" s="28">
        <f t="shared" si="3"/>
        <v>0</v>
      </c>
      <c r="U17" s="27">
        <f t="shared" si="4"/>
        <v>0</v>
      </c>
      <c r="V17" s="25"/>
      <c r="W17" s="25"/>
    </row>
    <row r="18">
      <c r="A18" s="21">
        <v>13.0</v>
      </c>
      <c r="B18" s="29"/>
      <c r="C18" s="29"/>
      <c r="D18" s="29"/>
      <c r="E18" s="22" t="s">
        <v>34</v>
      </c>
      <c r="F18" s="22" t="s">
        <v>29</v>
      </c>
      <c r="G18" s="24">
        <v>0.0</v>
      </c>
      <c r="H18" s="24">
        <v>0.0</v>
      </c>
      <c r="I18" s="24">
        <v>0.0</v>
      </c>
      <c r="J18" s="24">
        <v>0.0</v>
      </c>
      <c r="K18" s="24">
        <v>0.0</v>
      </c>
      <c r="L18" s="24">
        <v>0.0</v>
      </c>
      <c r="M18" s="24">
        <v>0.0</v>
      </c>
      <c r="N18" s="24">
        <v>0.0</v>
      </c>
      <c r="O18" s="24">
        <v>0.0</v>
      </c>
      <c r="P18" s="24">
        <v>0.0</v>
      </c>
      <c r="Q18" s="25"/>
      <c r="R18" s="26">
        <f t="shared" si="1"/>
        <v>0</v>
      </c>
      <c r="S18" s="27">
        <f t="shared" si="2"/>
        <v>0</v>
      </c>
      <c r="T18" s="28">
        <f t="shared" si="3"/>
        <v>0</v>
      </c>
      <c r="U18" s="27">
        <f t="shared" si="4"/>
        <v>0</v>
      </c>
      <c r="V18" s="25"/>
      <c r="W18" s="25"/>
    </row>
    <row r="19">
      <c r="A19" s="21">
        <v>14.0</v>
      </c>
      <c r="B19" s="29"/>
      <c r="C19" s="29"/>
      <c r="D19" s="29"/>
      <c r="E19" s="22" t="s">
        <v>34</v>
      </c>
      <c r="F19" s="22" t="s">
        <v>29</v>
      </c>
      <c r="G19" s="24">
        <v>0.0</v>
      </c>
      <c r="H19" s="24">
        <v>0.0</v>
      </c>
      <c r="I19" s="24">
        <v>0.0</v>
      </c>
      <c r="J19" s="24">
        <v>0.0</v>
      </c>
      <c r="K19" s="24">
        <v>0.0</v>
      </c>
      <c r="L19" s="24">
        <v>0.0</v>
      </c>
      <c r="M19" s="24">
        <v>0.0</v>
      </c>
      <c r="N19" s="24">
        <v>0.0</v>
      </c>
      <c r="O19" s="24">
        <v>0.0</v>
      </c>
      <c r="P19" s="24">
        <v>0.0</v>
      </c>
      <c r="Q19" s="25"/>
      <c r="R19" s="26">
        <f t="shared" si="1"/>
        <v>0</v>
      </c>
      <c r="S19" s="27">
        <f t="shared" si="2"/>
        <v>0</v>
      </c>
      <c r="T19" s="28">
        <f t="shared" si="3"/>
        <v>0</v>
      </c>
      <c r="U19" s="27">
        <f t="shared" si="4"/>
        <v>0</v>
      </c>
      <c r="V19" s="25"/>
      <c r="W19" s="25"/>
    </row>
    <row r="20">
      <c r="A20" s="21">
        <v>15.0</v>
      </c>
      <c r="B20" s="29"/>
      <c r="C20" s="29"/>
      <c r="D20" s="29"/>
      <c r="E20" s="22" t="s">
        <v>34</v>
      </c>
      <c r="F20" s="22" t="s">
        <v>29</v>
      </c>
      <c r="G20" s="24">
        <v>0.0</v>
      </c>
      <c r="H20" s="24">
        <v>0.0</v>
      </c>
      <c r="I20" s="24">
        <v>0.0</v>
      </c>
      <c r="J20" s="24">
        <v>0.0</v>
      </c>
      <c r="K20" s="24">
        <v>0.0</v>
      </c>
      <c r="L20" s="24">
        <v>0.0</v>
      </c>
      <c r="M20" s="24">
        <v>0.0</v>
      </c>
      <c r="N20" s="24">
        <v>0.0</v>
      </c>
      <c r="O20" s="24">
        <v>0.0</v>
      </c>
      <c r="P20" s="24">
        <v>0.0</v>
      </c>
      <c r="Q20" s="25"/>
      <c r="R20" s="26">
        <f t="shared" si="1"/>
        <v>0</v>
      </c>
      <c r="S20" s="27">
        <f t="shared" si="2"/>
        <v>0</v>
      </c>
      <c r="T20" s="28">
        <f t="shared" si="3"/>
        <v>0</v>
      </c>
      <c r="U20" s="27">
        <f t="shared" si="4"/>
        <v>0</v>
      </c>
      <c r="V20" s="25"/>
      <c r="W20" s="25"/>
    </row>
    <row r="21">
      <c r="A21" s="21">
        <v>16.0</v>
      </c>
      <c r="B21" s="29"/>
      <c r="C21" s="29"/>
      <c r="D21" s="29"/>
      <c r="E21" s="22" t="s">
        <v>34</v>
      </c>
      <c r="F21" s="22" t="s">
        <v>29</v>
      </c>
      <c r="G21" s="24">
        <v>0.0</v>
      </c>
      <c r="H21" s="24">
        <v>0.0</v>
      </c>
      <c r="I21" s="24">
        <v>0.0</v>
      </c>
      <c r="J21" s="24">
        <v>0.0</v>
      </c>
      <c r="K21" s="24">
        <v>0.0</v>
      </c>
      <c r="L21" s="24">
        <v>0.0</v>
      </c>
      <c r="M21" s="24">
        <v>0.0</v>
      </c>
      <c r="N21" s="24">
        <v>0.0</v>
      </c>
      <c r="O21" s="24">
        <v>0.0</v>
      </c>
      <c r="P21" s="24">
        <v>0.0</v>
      </c>
      <c r="Q21" s="25"/>
      <c r="R21" s="26">
        <f t="shared" si="1"/>
        <v>0</v>
      </c>
      <c r="S21" s="27">
        <f t="shared" si="2"/>
        <v>0</v>
      </c>
      <c r="T21" s="28">
        <f t="shared" si="3"/>
        <v>0</v>
      </c>
      <c r="U21" s="27">
        <f t="shared" si="4"/>
        <v>0</v>
      </c>
      <c r="V21" s="25"/>
      <c r="W21" s="25"/>
    </row>
    <row r="22">
      <c r="A22" s="30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</sheetData>
  <mergeCells count="11">
    <mergeCell ref="G4:I4"/>
    <mergeCell ref="J4:M4"/>
    <mergeCell ref="N4:P4"/>
    <mergeCell ref="R4:U4"/>
    <mergeCell ref="F1:K1"/>
    <mergeCell ref="H2:I2"/>
    <mergeCell ref="A4:A5"/>
    <mergeCell ref="B4:B5"/>
    <mergeCell ref="C4:C5"/>
    <mergeCell ref="D4:D5"/>
    <mergeCell ref="E4:E5"/>
  </mergeCells>
  <dataValidations>
    <dataValidation type="list" allowBlank="1" showErrorMessage="1" sqref="G6:P21">
      <formula1>"1,2,3,4,5"</formula1>
    </dataValidation>
    <dataValidation type="list" allowBlank="1" showErrorMessage="1" sqref="E6:E21">
      <formula1>"Đang kiểm tra,Trưởng phòng nhân sự,Nhân viên 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75"/>
  <cols>
    <col customWidth="1" min="1" max="1" width="5.63"/>
    <col customWidth="1" min="2" max="2" width="22.25"/>
    <col customWidth="1" min="5" max="5" width="28.25"/>
    <col customWidth="1" min="6" max="6" width="13.38"/>
    <col customWidth="1" min="7" max="7" width="18.88"/>
    <col customWidth="1" min="8" max="8" width="18.5"/>
    <col customWidth="1" min="9" max="9" width="15.5"/>
    <col customWidth="1" min="10" max="10" width="16.38"/>
    <col customWidth="1" min="11" max="11" width="13.88"/>
    <col customWidth="1" min="12" max="13" width="14.13"/>
    <col customWidth="1" min="14" max="14" width="13.63"/>
    <col customWidth="1" min="16" max="16" width="13.38"/>
  </cols>
  <sheetData>
    <row r="1">
      <c r="A1" s="1"/>
      <c r="F1" s="31" t="s">
        <v>0</v>
      </c>
      <c r="G1" s="32"/>
      <c r="H1" s="32"/>
      <c r="I1" s="32"/>
      <c r="J1" s="32"/>
      <c r="K1" s="33"/>
    </row>
    <row r="2">
      <c r="A2" s="1"/>
      <c r="H2" s="5" t="s">
        <v>35</v>
      </c>
      <c r="L2" s="6"/>
      <c r="M2" s="6"/>
    </row>
    <row r="3">
      <c r="A3" s="1"/>
    </row>
    <row r="4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9" t="s">
        <v>8</v>
      </c>
      <c r="H4" s="10"/>
      <c r="I4" s="10"/>
      <c r="J4" s="11"/>
      <c r="K4" s="12" t="s">
        <v>9</v>
      </c>
      <c r="L4" s="10"/>
      <c r="M4" s="11"/>
      <c r="N4" s="13" t="s">
        <v>10</v>
      </c>
      <c r="O4" s="10"/>
      <c r="P4" s="11"/>
      <c r="R4" s="14" t="s">
        <v>11</v>
      </c>
      <c r="S4" s="10"/>
      <c r="T4" s="10"/>
      <c r="U4" s="11"/>
    </row>
    <row r="5" ht="112.5" customHeight="1">
      <c r="A5" s="15"/>
      <c r="B5" s="15"/>
      <c r="C5" s="15"/>
      <c r="D5" s="15"/>
      <c r="E5" s="15"/>
      <c r="F5" s="8" t="s">
        <v>12</v>
      </c>
      <c r="G5" s="16" t="s">
        <v>13</v>
      </c>
      <c r="H5" s="16" t="s">
        <v>36</v>
      </c>
      <c r="I5" s="16" t="s">
        <v>15</v>
      </c>
      <c r="J5" s="17" t="s">
        <v>37</v>
      </c>
      <c r="K5" s="17" t="s">
        <v>38</v>
      </c>
      <c r="L5" s="18" t="s">
        <v>17</v>
      </c>
      <c r="M5" s="17" t="s">
        <v>18</v>
      </c>
      <c r="N5" s="17" t="s">
        <v>20</v>
      </c>
      <c r="O5" s="17" t="s">
        <v>21</v>
      </c>
      <c r="P5" s="17" t="s">
        <v>22</v>
      </c>
      <c r="R5" s="19" t="s">
        <v>23</v>
      </c>
      <c r="S5" s="19" t="s">
        <v>24</v>
      </c>
      <c r="T5" s="19" t="s">
        <v>25</v>
      </c>
      <c r="U5" s="20" t="s">
        <v>26</v>
      </c>
    </row>
    <row r="6">
      <c r="A6" s="34">
        <v>1.0</v>
      </c>
      <c r="B6" s="22" t="s">
        <v>27</v>
      </c>
      <c r="C6" s="23"/>
      <c r="D6" s="22">
        <v>2023.0</v>
      </c>
      <c r="E6" s="22" t="s">
        <v>28</v>
      </c>
      <c r="F6" s="22" t="s">
        <v>29</v>
      </c>
      <c r="G6" s="24">
        <v>4.0</v>
      </c>
      <c r="H6" s="24">
        <v>4.0</v>
      </c>
      <c r="I6" s="24">
        <v>5.0</v>
      </c>
      <c r="J6" s="24">
        <v>5.0</v>
      </c>
      <c r="K6" s="24">
        <v>5.0</v>
      </c>
      <c r="L6" s="24">
        <v>4.0</v>
      </c>
      <c r="M6" s="24">
        <v>4.0</v>
      </c>
      <c r="N6" s="24">
        <v>4.0</v>
      </c>
      <c r="O6" s="24">
        <v>4.0</v>
      </c>
      <c r="P6" s="24">
        <v>5.0</v>
      </c>
      <c r="R6" s="35">
        <f t="shared" ref="R6:R21" si="1">SUM(G6:I6)</f>
        <v>13</v>
      </c>
      <c r="S6" s="36">
        <f t="shared" ref="S6:S21" si="2">SUM(J6:M6)</f>
        <v>18</v>
      </c>
      <c r="T6" s="37">
        <f t="shared" ref="T6:T21" si="3">SUM(N6:P6)</f>
        <v>13</v>
      </c>
      <c r="U6" s="36">
        <f t="shared" ref="U6:U21" si="4">SUM(R6:T6)</f>
        <v>44</v>
      </c>
    </row>
    <row r="7">
      <c r="A7" s="34">
        <v>2.0</v>
      </c>
      <c r="B7" s="22" t="s">
        <v>30</v>
      </c>
      <c r="C7" s="29"/>
      <c r="D7" s="22">
        <v>2023.0</v>
      </c>
      <c r="E7" s="22" t="s">
        <v>31</v>
      </c>
      <c r="F7" s="22" t="s">
        <v>29</v>
      </c>
      <c r="G7" s="24">
        <v>4.0</v>
      </c>
      <c r="H7" s="24">
        <v>4.0</v>
      </c>
      <c r="I7" s="24">
        <v>5.0</v>
      </c>
      <c r="J7" s="24">
        <v>5.0</v>
      </c>
      <c r="K7" s="24">
        <v>5.0</v>
      </c>
      <c r="L7" s="24">
        <v>3.0</v>
      </c>
      <c r="M7" s="24">
        <v>4.0</v>
      </c>
      <c r="N7" s="24">
        <v>4.0</v>
      </c>
      <c r="O7" s="24">
        <v>4.0</v>
      </c>
      <c r="P7" s="24">
        <v>5.0</v>
      </c>
      <c r="R7" s="35">
        <f t="shared" si="1"/>
        <v>13</v>
      </c>
      <c r="S7" s="36">
        <f t="shared" si="2"/>
        <v>17</v>
      </c>
      <c r="T7" s="37">
        <f t="shared" si="3"/>
        <v>13</v>
      </c>
      <c r="U7" s="36">
        <f t="shared" si="4"/>
        <v>43</v>
      </c>
    </row>
    <row r="8">
      <c r="A8" s="34">
        <v>3.0</v>
      </c>
      <c r="B8" s="22" t="s">
        <v>32</v>
      </c>
      <c r="C8" s="29"/>
      <c r="D8" s="22">
        <v>2023.0</v>
      </c>
      <c r="E8" s="22" t="s">
        <v>31</v>
      </c>
      <c r="F8" s="22" t="s">
        <v>29</v>
      </c>
      <c r="G8" s="24">
        <v>5.0</v>
      </c>
      <c r="H8" s="24">
        <v>4.0</v>
      </c>
      <c r="I8" s="24">
        <v>5.0</v>
      </c>
      <c r="J8" s="24">
        <v>5.0</v>
      </c>
      <c r="K8" s="24">
        <v>5.0</v>
      </c>
      <c r="L8" s="24">
        <v>4.0</v>
      </c>
      <c r="M8" s="24">
        <v>4.0</v>
      </c>
      <c r="N8" s="24">
        <v>4.0</v>
      </c>
      <c r="O8" s="24">
        <v>4.0</v>
      </c>
      <c r="P8" s="24">
        <v>5.0</v>
      </c>
      <c r="R8" s="35">
        <f t="shared" si="1"/>
        <v>14</v>
      </c>
      <c r="S8" s="36">
        <f t="shared" si="2"/>
        <v>18</v>
      </c>
      <c r="T8" s="37">
        <f t="shared" si="3"/>
        <v>13</v>
      </c>
      <c r="U8" s="36">
        <f t="shared" si="4"/>
        <v>45</v>
      </c>
    </row>
    <row r="9">
      <c r="A9" s="34">
        <v>4.0</v>
      </c>
      <c r="B9" s="22" t="s">
        <v>33</v>
      </c>
      <c r="C9" s="29"/>
      <c r="D9" s="22">
        <v>2023.0</v>
      </c>
      <c r="E9" s="22" t="s">
        <v>31</v>
      </c>
      <c r="F9" s="22" t="s">
        <v>29</v>
      </c>
      <c r="G9" s="24">
        <v>5.0</v>
      </c>
      <c r="H9" s="24">
        <v>4.0</v>
      </c>
      <c r="I9" s="24">
        <v>5.0</v>
      </c>
      <c r="J9" s="24">
        <v>5.0</v>
      </c>
      <c r="K9" s="24">
        <v>5.0</v>
      </c>
      <c r="L9" s="24">
        <v>5.0</v>
      </c>
      <c r="M9" s="24">
        <v>4.0</v>
      </c>
      <c r="N9" s="24">
        <v>4.0</v>
      </c>
      <c r="O9" s="24">
        <v>4.0</v>
      </c>
      <c r="P9" s="24">
        <v>5.0</v>
      </c>
      <c r="R9" s="35">
        <f t="shared" si="1"/>
        <v>14</v>
      </c>
      <c r="S9" s="36">
        <f t="shared" si="2"/>
        <v>19</v>
      </c>
      <c r="T9" s="37">
        <f t="shared" si="3"/>
        <v>13</v>
      </c>
      <c r="U9" s="36">
        <f t="shared" si="4"/>
        <v>46</v>
      </c>
    </row>
    <row r="10">
      <c r="A10" s="34">
        <v>5.0</v>
      </c>
      <c r="B10" s="29"/>
      <c r="C10" s="29"/>
      <c r="D10" s="29"/>
      <c r="E10" s="22" t="s">
        <v>34</v>
      </c>
      <c r="F10" s="22" t="s">
        <v>29</v>
      </c>
      <c r="G10" s="24">
        <v>0.0</v>
      </c>
      <c r="H10" s="24">
        <v>0.0</v>
      </c>
      <c r="I10" s="24">
        <v>0.0</v>
      </c>
      <c r="J10" s="24">
        <v>0.0</v>
      </c>
      <c r="K10" s="24">
        <v>0.0</v>
      </c>
      <c r="L10" s="24">
        <v>0.0</v>
      </c>
      <c r="M10" s="24">
        <v>0.0</v>
      </c>
      <c r="N10" s="24">
        <v>0.0</v>
      </c>
      <c r="O10" s="24">
        <v>0.0</v>
      </c>
      <c r="P10" s="24">
        <v>0.0</v>
      </c>
      <c r="R10" s="35">
        <f t="shared" si="1"/>
        <v>0</v>
      </c>
      <c r="S10" s="36">
        <f t="shared" si="2"/>
        <v>0</v>
      </c>
      <c r="T10" s="37">
        <f t="shared" si="3"/>
        <v>0</v>
      </c>
      <c r="U10" s="36">
        <f t="shared" si="4"/>
        <v>0</v>
      </c>
    </row>
    <row r="11">
      <c r="A11" s="34">
        <v>6.0</v>
      </c>
      <c r="B11" s="29"/>
      <c r="C11" s="29"/>
      <c r="D11" s="29"/>
      <c r="E11" s="22" t="s">
        <v>34</v>
      </c>
      <c r="F11" s="22" t="s">
        <v>29</v>
      </c>
      <c r="G11" s="24">
        <v>0.0</v>
      </c>
      <c r="H11" s="24">
        <v>0.0</v>
      </c>
      <c r="I11" s="24">
        <v>0.0</v>
      </c>
      <c r="J11" s="24">
        <v>0.0</v>
      </c>
      <c r="K11" s="24">
        <v>0.0</v>
      </c>
      <c r="L11" s="24">
        <v>0.0</v>
      </c>
      <c r="M11" s="24">
        <v>0.0</v>
      </c>
      <c r="N11" s="24">
        <v>0.0</v>
      </c>
      <c r="O11" s="24">
        <v>0.0</v>
      </c>
      <c r="P11" s="24">
        <v>0.0</v>
      </c>
      <c r="R11" s="35">
        <f t="shared" si="1"/>
        <v>0</v>
      </c>
      <c r="S11" s="36">
        <f t="shared" si="2"/>
        <v>0</v>
      </c>
      <c r="T11" s="37">
        <f t="shared" si="3"/>
        <v>0</v>
      </c>
      <c r="U11" s="36">
        <f t="shared" si="4"/>
        <v>0</v>
      </c>
    </row>
    <row r="12">
      <c r="A12" s="34">
        <v>7.0</v>
      </c>
      <c r="B12" s="29"/>
      <c r="C12" s="29"/>
      <c r="D12" s="29"/>
      <c r="E12" s="22" t="s">
        <v>34</v>
      </c>
      <c r="F12" s="22" t="s">
        <v>29</v>
      </c>
      <c r="G12" s="24">
        <v>0.0</v>
      </c>
      <c r="H12" s="24">
        <v>0.0</v>
      </c>
      <c r="I12" s="24">
        <v>0.0</v>
      </c>
      <c r="J12" s="24">
        <v>0.0</v>
      </c>
      <c r="K12" s="24">
        <v>0.0</v>
      </c>
      <c r="L12" s="24">
        <v>0.0</v>
      </c>
      <c r="M12" s="24">
        <v>0.0</v>
      </c>
      <c r="N12" s="24">
        <v>0.0</v>
      </c>
      <c r="O12" s="24">
        <v>0.0</v>
      </c>
      <c r="P12" s="24">
        <v>0.0</v>
      </c>
      <c r="R12" s="35">
        <f t="shared" si="1"/>
        <v>0</v>
      </c>
      <c r="S12" s="36">
        <f t="shared" si="2"/>
        <v>0</v>
      </c>
      <c r="T12" s="37">
        <f t="shared" si="3"/>
        <v>0</v>
      </c>
      <c r="U12" s="36">
        <f t="shared" si="4"/>
        <v>0</v>
      </c>
    </row>
    <row r="13">
      <c r="A13" s="34">
        <v>8.0</v>
      </c>
      <c r="B13" s="29"/>
      <c r="C13" s="29"/>
      <c r="D13" s="29"/>
      <c r="E13" s="22" t="s">
        <v>34</v>
      </c>
      <c r="F13" s="22" t="s">
        <v>29</v>
      </c>
      <c r="G13" s="24">
        <v>0.0</v>
      </c>
      <c r="H13" s="24">
        <v>0.0</v>
      </c>
      <c r="I13" s="24">
        <v>0.0</v>
      </c>
      <c r="J13" s="24">
        <v>0.0</v>
      </c>
      <c r="K13" s="24">
        <v>0.0</v>
      </c>
      <c r="L13" s="24">
        <v>0.0</v>
      </c>
      <c r="M13" s="24">
        <v>0.0</v>
      </c>
      <c r="N13" s="24">
        <v>0.0</v>
      </c>
      <c r="O13" s="24">
        <v>0.0</v>
      </c>
      <c r="P13" s="24">
        <v>0.0</v>
      </c>
      <c r="R13" s="35">
        <f t="shared" si="1"/>
        <v>0</v>
      </c>
      <c r="S13" s="36">
        <f t="shared" si="2"/>
        <v>0</v>
      </c>
      <c r="T13" s="37">
        <f t="shared" si="3"/>
        <v>0</v>
      </c>
      <c r="U13" s="36">
        <f t="shared" si="4"/>
        <v>0</v>
      </c>
    </row>
    <row r="14">
      <c r="A14" s="34">
        <v>9.0</v>
      </c>
      <c r="B14" s="29"/>
      <c r="C14" s="29"/>
      <c r="D14" s="29"/>
      <c r="E14" s="22" t="s">
        <v>34</v>
      </c>
      <c r="F14" s="22" t="s">
        <v>29</v>
      </c>
      <c r="G14" s="24">
        <v>0.0</v>
      </c>
      <c r="H14" s="24">
        <v>0.0</v>
      </c>
      <c r="I14" s="24">
        <v>0.0</v>
      </c>
      <c r="J14" s="24">
        <v>0.0</v>
      </c>
      <c r="K14" s="24">
        <v>0.0</v>
      </c>
      <c r="L14" s="24">
        <v>0.0</v>
      </c>
      <c r="M14" s="24">
        <v>0.0</v>
      </c>
      <c r="N14" s="24">
        <v>0.0</v>
      </c>
      <c r="O14" s="24">
        <v>0.0</v>
      </c>
      <c r="P14" s="24">
        <v>0.0</v>
      </c>
      <c r="R14" s="35">
        <f t="shared" si="1"/>
        <v>0</v>
      </c>
      <c r="S14" s="36">
        <f t="shared" si="2"/>
        <v>0</v>
      </c>
      <c r="T14" s="37">
        <f t="shared" si="3"/>
        <v>0</v>
      </c>
      <c r="U14" s="36">
        <f t="shared" si="4"/>
        <v>0</v>
      </c>
    </row>
    <row r="15">
      <c r="A15" s="34">
        <v>10.0</v>
      </c>
      <c r="B15" s="29"/>
      <c r="C15" s="29"/>
      <c r="D15" s="29"/>
      <c r="E15" s="22" t="s">
        <v>34</v>
      </c>
      <c r="F15" s="22" t="s">
        <v>29</v>
      </c>
      <c r="G15" s="24">
        <v>0.0</v>
      </c>
      <c r="H15" s="24">
        <v>0.0</v>
      </c>
      <c r="I15" s="24">
        <v>0.0</v>
      </c>
      <c r="J15" s="24">
        <v>0.0</v>
      </c>
      <c r="K15" s="24">
        <v>0.0</v>
      </c>
      <c r="L15" s="24">
        <v>0.0</v>
      </c>
      <c r="M15" s="24">
        <v>0.0</v>
      </c>
      <c r="N15" s="24">
        <v>0.0</v>
      </c>
      <c r="O15" s="24">
        <v>0.0</v>
      </c>
      <c r="P15" s="24">
        <v>0.0</v>
      </c>
      <c r="R15" s="35">
        <f t="shared" si="1"/>
        <v>0</v>
      </c>
      <c r="S15" s="36">
        <f t="shared" si="2"/>
        <v>0</v>
      </c>
      <c r="T15" s="37">
        <f t="shared" si="3"/>
        <v>0</v>
      </c>
      <c r="U15" s="36">
        <f t="shared" si="4"/>
        <v>0</v>
      </c>
    </row>
    <row r="16">
      <c r="A16" s="34">
        <v>11.0</v>
      </c>
      <c r="B16" s="29"/>
      <c r="C16" s="29"/>
      <c r="D16" s="29"/>
      <c r="E16" s="22" t="s">
        <v>34</v>
      </c>
      <c r="F16" s="22" t="s">
        <v>29</v>
      </c>
      <c r="G16" s="24">
        <v>0.0</v>
      </c>
      <c r="H16" s="24">
        <v>0.0</v>
      </c>
      <c r="I16" s="24">
        <v>0.0</v>
      </c>
      <c r="J16" s="24">
        <v>0.0</v>
      </c>
      <c r="K16" s="24">
        <v>0.0</v>
      </c>
      <c r="L16" s="24">
        <v>0.0</v>
      </c>
      <c r="M16" s="24">
        <v>0.0</v>
      </c>
      <c r="N16" s="24">
        <v>0.0</v>
      </c>
      <c r="O16" s="24">
        <v>0.0</v>
      </c>
      <c r="P16" s="24">
        <v>0.0</v>
      </c>
      <c r="R16" s="35">
        <f t="shared" si="1"/>
        <v>0</v>
      </c>
      <c r="S16" s="36">
        <f t="shared" si="2"/>
        <v>0</v>
      </c>
      <c r="T16" s="37">
        <f t="shared" si="3"/>
        <v>0</v>
      </c>
      <c r="U16" s="36">
        <f t="shared" si="4"/>
        <v>0</v>
      </c>
    </row>
    <row r="17">
      <c r="A17" s="34">
        <v>12.0</v>
      </c>
      <c r="B17" s="29"/>
      <c r="C17" s="29"/>
      <c r="D17" s="29"/>
      <c r="E17" s="22" t="s">
        <v>34</v>
      </c>
      <c r="F17" s="22" t="s">
        <v>29</v>
      </c>
      <c r="G17" s="24">
        <v>0.0</v>
      </c>
      <c r="H17" s="24">
        <v>0.0</v>
      </c>
      <c r="I17" s="24">
        <v>0.0</v>
      </c>
      <c r="J17" s="24">
        <v>0.0</v>
      </c>
      <c r="K17" s="24">
        <v>0.0</v>
      </c>
      <c r="L17" s="24">
        <v>0.0</v>
      </c>
      <c r="M17" s="24">
        <v>0.0</v>
      </c>
      <c r="N17" s="24">
        <v>0.0</v>
      </c>
      <c r="O17" s="24">
        <v>0.0</v>
      </c>
      <c r="P17" s="24">
        <v>0.0</v>
      </c>
      <c r="R17" s="35">
        <f t="shared" si="1"/>
        <v>0</v>
      </c>
      <c r="S17" s="36">
        <f t="shared" si="2"/>
        <v>0</v>
      </c>
      <c r="T17" s="37">
        <f t="shared" si="3"/>
        <v>0</v>
      </c>
      <c r="U17" s="36">
        <f t="shared" si="4"/>
        <v>0</v>
      </c>
    </row>
    <row r="18">
      <c r="A18" s="34">
        <v>13.0</v>
      </c>
      <c r="B18" s="29"/>
      <c r="C18" s="29"/>
      <c r="D18" s="29"/>
      <c r="E18" s="22" t="s">
        <v>34</v>
      </c>
      <c r="F18" s="22" t="s">
        <v>29</v>
      </c>
      <c r="G18" s="24">
        <v>0.0</v>
      </c>
      <c r="H18" s="24">
        <v>0.0</v>
      </c>
      <c r="I18" s="24">
        <v>0.0</v>
      </c>
      <c r="J18" s="24">
        <v>0.0</v>
      </c>
      <c r="K18" s="24">
        <v>0.0</v>
      </c>
      <c r="L18" s="24">
        <v>0.0</v>
      </c>
      <c r="M18" s="24">
        <v>0.0</v>
      </c>
      <c r="N18" s="24">
        <v>0.0</v>
      </c>
      <c r="O18" s="24">
        <v>0.0</v>
      </c>
      <c r="P18" s="24">
        <v>0.0</v>
      </c>
      <c r="R18" s="35">
        <f t="shared" si="1"/>
        <v>0</v>
      </c>
      <c r="S18" s="36">
        <f t="shared" si="2"/>
        <v>0</v>
      </c>
      <c r="T18" s="37">
        <f t="shared" si="3"/>
        <v>0</v>
      </c>
      <c r="U18" s="36">
        <f t="shared" si="4"/>
        <v>0</v>
      </c>
    </row>
    <row r="19">
      <c r="A19" s="34">
        <v>14.0</v>
      </c>
      <c r="B19" s="29"/>
      <c r="C19" s="29"/>
      <c r="D19" s="29"/>
      <c r="E19" s="22" t="s">
        <v>34</v>
      </c>
      <c r="F19" s="22" t="s">
        <v>29</v>
      </c>
      <c r="G19" s="24">
        <v>0.0</v>
      </c>
      <c r="H19" s="24">
        <v>0.0</v>
      </c>
      <c r="I19" s="24">
        <v>0.0</v>
      </c>
      <c r="J19" s="24">
        <v>0.0</v>
      </c>
      <c r="K19" s="24">
        <v>0.0</v>
      </c>
      <c r="L19" s="24">
        <v>0.0</v>
      </c>
      <c r="M19" s="24">
        <v>0.0</v>
      </c>
      <c r="N19" s="24">
        <v>0.0</v>
      </c>
      <c r="O19" s="24">
        <v>0.0</v>
      </c>
      <c r="P19" s="24">
        <v>0.0</v>
      </c>
      <c r="R19" s="35">
        <f t="shared" si="1"/>
        <v>0</v>
      </c>
      <c r="S19" s="36">
        <f t="shared" si="2"/>
        <v>0</v>
      </c>
      <c r="T19" s="37">
        <f t="shared" si="3"/>
        <v>0</v>
      </c>
      <c r="U19" s="36">
        <f t="shared" si="4"/>
        <v>0</v>
      </c>
    </row>
    <row r="20">
      <c r="A20" s="34">
        <v>15.0</v>
      </c>
      <c r="B20" s="29"/>
      <c r="C20" s="29"/>
      <c r="D20" s="29"/>
      <c r="E20" s="22" t="s">
        <v>34</v>
      </c>
      <c r="F20" s="22" t="s">
        <v>29</v>
      </c>
      <c r="G20" s="24">
        <v>0.0</v>
      </c>
      <c r="H20" s="24">
        <v>0.0</v>
      </c>
      <c r="I20" s="24">
        <v>0.0</v>
      </c>
      <c r="J20" s="24">
        <v>0.0</v>
      </c>
      <c r="K20" s="24">
        <v>0.0</v>
      </c>
      <c r="L20" s="24">
        <v>0.0</v>
      </c>
      <c r="M20" s="24">
        <v>0.0</v>
      </c>
      <c r="N20" s="24">
        <v>0.0</v>
      </c>
      <c r="O20" s="24">
        <v>0.0</v>
      </c>
      <c r="P20" s="24">
        <v>0.0</v>
      </c>
      <c r="R20" s="35">
        <f t="shared" si="1"/>
        <v>0</v>
      </c>
      <c r="S20" s="36">
        <f t="shared" si="2"/>
        <v>0</v>
      </c>
      <c r="T20" s="37">
        <f t="shared" si="3"/>
        <v>0</v>
      </c>
      <c r="U20" s="36">
        <f t="shared" si="4"/>
        <v>0</v>
      </c>
    </row>
    <row r="21">
      <c r="A21" s="34">
        <v>16.0</v>
      </c>
      <c r="B21" s="29"/>
      <c r="C21" s="29"/>
      <c r="D21" s="29"/>
      <c r="E21" s="22" t="s">
        <v>34</v>
      </c>
      <c r="F21" s="22" t="s">
        <v>29</v>
      </c>
      <c r="G21" s="24">
        <v>0.0</v>
      </c>
      <c r="H21" s="24">
        <v>0.0</v>
      </c>
      <c r="I21" s="24">
        <v>0.0</v>
      </c>
      <c r="J21" s="24">
        <v>0.0</v>
      </c>
      <c r="K21" s="24">
        <v>0.0</v>
      </c>
      <c r="L21" s="24">
        <v>0.0</v>
      </c>
      <c r="M21" s="24">
        <v>0.0</v>
      </c>
      <c r="N21" s="24">
        <v>0.0</v>
      </c>
      <c r="O21" s="24">
        <v>0.0</v>
      </c>
      <c r="P21" s="24">
        <v>0.0</v>
      </c>
      <c r="R21" s="35">
        <f t="shared" si="1"/>
        <v>0</v>
      </c>
      <c r="S21" s="36">
        <f t="shared" si="2"/>
        <v>0</v>
      </c>
      <c r="T21" s="37">
        <f t="shared" si="3"/>
        <v>0</v>
      </c>
      <c r="U21" s="36">
        <f t="shared" si="4"/>
        <v>0</v>
      </c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</sheetData>
  <mergeCells count="10">
    <mergeCell ref="K4:M4"/>
    <mergeCell ref="N4:P4"/>
    <mergeCell ref="R4:U4"/>
    <mergeCell ref="H2:I2"/>
    <mergeCell ref="A4:A5"/>
    <mergeCell ref="B4:B5"/>
    <mergeCell ref="C4:C5"/>
    <mergeCell ref="D4:D5"/>
    <mergeCell ref="E4:E5"/>
    <mergeCell ref="G4:J4"/>
  </mergeCells>
  <dataValidations>
    <dataValidation type="list" allowBlank="1" showErrorMessage="1" sqref="G6:P21">
      <formula1>"1,2,3,4,5"</formula1>
    </dataValidation>
    <dataValidation type="list" allowBlank="1" showErrorMessage="1" sqref="E6:E21">
      <formula1>"Đang kiểm tra,Trưởng phòng nhân sự,Nhân viên 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75"/>
  <cols>
    <col customWidth="1" min="1" max="1" width="5.63"/>
    <col customWidth="1" min="2" max="2" width="22.25"/>
    <col customWidth="1" min="5" max="5" width="28.25"/>
    <col customWidth="1" min="6" max="6" width="13.13"/>
    <col customWidth="1" min="7" max="7" width="18.88"/>
    <col customWidth="1" min="8" max="8" width="18.5"/>
    <col customWidth="1" min="9" max="9" width="15.5"/>
    <col customWidth="1" min="10" max="10" width="16.38"/>
    <col customWidth="1" min="11" max="11" width="16.0"/>
    <col customWidth="1" min="12" max="13" width="14.13"/>
    <col customWidth="1" min="14" max="14" width="13.63"/>
    <col customWidth="1" min="16" max="16" width="13.38"/>
  </cols>
  <sheetData>
    <row r="1">
      <c r="A1" s="1"/>
      <c r="F1" s="38" t="s">
        <v>0</v>
      </c>
      <c r="G1" s="10"/>
      <c r="H1" s="10"/>
      <c r="I1" s="10"/>
      <c r="J1" s="10"/>
      <c r="K1" s="11"/>
    </row>
    <row r="2">
      <c r="A2" s="1"/>
      <c r="H2" s="5" t="s">
        <v>39</v>
      </c>
      <c r="L2" s="6"/>
      <c r="M2" s="6"/>
    </row>
    <row r="3">
      <c r="A3" s="1"/>
    </row>
    <row r="4">
      <c r="A4" s="7" t="s">
        <v>2</v>
      </c>
      <c r="B4" s="39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9" t="s">
        <v>8</v>
      </c>
      <c r="H4" s="10"/>
      <c r="I4" s="10"/>
      <c r="J4" s="11"/>
      <c r="K4" s="12" t="s">
        <v>9</v>
      </c>
      <c r="L4" s="10"/>
      <c r="M4" s="11"/>
      <c r="N4" s="13" t="s">
        <v>10</v>
      </c>
      <c r="O4" s="10"/>
      <c r="P4" s="11"/>
      <c r="R4" s="14" t="s">
        <v>11</v>
      </c>
      <c r="S4" s="10"/>
      <c r="T4" s="10"/>
      <c r="U4" s="11"/>
    </row>
    <row r="5" ht="112.5" customHeight="1">
      <c r="A5" s="15"/>
      <c r="B5" s="15"/>
      <c r="C5" s="15"/>
      <c r="D5" s="15"/>
      <c r="E5" s="15"/>
      <c r="F5" s="8" t="s">
        <v>12</v>
      </c>
      <c r="G5" s="16" t="s">
        <v>40</v>
      </c>
      <c r="H5" s="16" t="s">
        <v>41</v>
      </c>
      <c r="I5" s="16" t="s">
        <v>15</v>
      </c>
      <c r="J5" s="17" t="s">
        <v>42</v>
      </c>
      <c r="K5" s="40" t="s">
        <v>43</v>
      </c>
      <c r="L5" s="17" t="s">
        <v>18</v>
      </c>
      <c r="M5" s="17" t="s">
        <v>19</v>
      </c>
      <c r="N5" s="17" t="s">
        <v>20</v>
      </c>
      <c r="O5" s="17" t="s">
        <v>21</v>
      </c>
      <c r="P5" s="17" t="s">
        <v>22</v>
      </c>
      <c r="R5" s="19" t="s">
        <v>23</v>
      </c>
      <c r="S5" s="19" t="s">
        <v>24</v>
      </c>
      <c r="T5" s="19" t="s">
        <v>25</v>
      </c>
      <c r="U5" s="20" t="s">
        <v>26</v>
      </c>
    </row>
    <row r="6">
      <c r="A6" s="21">
        <v>1.0</v>
      </c>
      <c r="B6" s="22" t="s">
        <v>27</v>
      </c>
      <c r="C6" s="23"/>
      <c r="D6" s="22">
        <v>2023.0</v>
      </c>
      <c r="E6" s="22" t="s">
        <v>28</v>
      </c>
      <c r="F6" s="22" t="s">
        <v>29</v>
      </c>
      <c r="G6" s="24">
        <v>4.0</v>
      </c>
      <c r="H6" s="24">
        <v>4.0</v>
      </c>
      <c r="I6" s="24">
        <v>5.0</v>
      </c>
      <c r="J6" s="24">
        <v>5.0</v>
      </c>
      <c r="K6" s="24">
        <v>5.0</v>
      </c>
      <c r="L6" s="24">
        <v>4.0</v>
      </c>
      <c r="M6" s="24">
        <v>4.0</v>
      </c>
      <c r="N6" s="24">
        <v>4.0</v>
      </c>
      <c r="O6" s="24">
        <v>4.0</v>
      </c>
      <c r="P6" s="24">
        <v>5.0</v>
      </c>
      <c r="Q6" s="25"/>
      <c r="R6" s="26">
        <f t="shared" ref="R6:R21" si="1">SUM(G6:I6)</f>
        <v>13</v>
      </c>
      <c r="S6" s="27">
        <f t="shared" ref="S6:S21" si="2">SUM(J6:M6)</f>
        <v>18</v>
      </c>
      <c r="T6" s="28">
        <f t="shared" ref="T6:T21" si="3">SUM(N6:P6)</f>
        <v>13</v>
      </c>
      <c r="U6" s="27">
        <f t="shared" ref="U6:U21" si="4">SUM(R6:T6)</f>
        <v>44</v>
      </c>
    </row>
    <row r="7">
      <c r="A7" s="21">
        <v>2.0</v>
      </c>
      <c r="B7" s="22" t="s">
        <v>30</v>
      </c>
      <c r="C7" s="29"/>
      <c r="D7" s="22">
        <v>2023.0</v>
      </c>
      <c r="E7" s="22" t="s">
        <v>31</v>
      </c>
      <c r="F7" s="22" t="s">
        <v>29</v>
      </c>
      <c r="G7" s="24">
        <v>4.0</v>
      </c>
      <c r="H7" s="24">
        <v>4.0</v>
      </c>
      <c r="I7" s="24">
        <v>5.0</v>
      </c>
      <c r="J7" s="24">
        <v>5.0</v>
      </c>
      <c r="K7" s="24">
        <v>5.0</v>
      </c>
      <c r="L7" s="24">
        <v>3.0</v>
      </c>
      <c r="M7" s="24">
        <v>4.0</v>
      </c>
      <c r="N7" s="24">
        <v>4.0</v>
      </c>
      <c r="O7" s="24">
        <v>4.0</v>
      </c>
      <c r="P7" s="24">
        <v>5.0</v>
      </c>
      <c r="Q7" s="25"/>
      <c r="R7" s="26">
        <f t="shared" si="1"/>
        <v>13</v>
      </c>
      <c r="S7" s="27">
        <f t="shared" si="2"/>
        <v>17</v>
      </c>
      <c r="T7" s="28">
        <f t="shared" si="3"/>
        <v>13</v>
      </c>
      <c r="U7" s="27">
        <f t="shared" si="4"/>
        <v>43</v>
      </c>
    </row>
    <row r="8">
      <c r="A8" s="21">
        <v>3.0</v>
      </c>
      <c r="B8" s="22" t="s">
        <v>32</v>
      </c>
      <c r="C8" s="29"/>
      <c r="D8" s="22">
        <v>2023.0</v>
      </c>
      <c r="E8" s="22" t="s">
        <v>31</v>
      </c>
      <c r="F8" s="22" t="s">
        <v>29</v>
      </c>
      <c r="G8" s="24">
        <v>5.0</v>
      </c>
      <c r="H8" s="24">
        <v>4.0</v>
      </c>
      <c r="I8" s="24">
        <v>5.0</v>
      </c>
      <c r="J8" s="24">
        <v>5.0</v>
      </c>
      <c r="K8" s="24">
        <v>5.0</v>
      </c>
      <c r="L8" s="24">
        <v>4.0</v>
      </c>
      <c r="M8" s="24">
        <v>4.0</v>
      </c>
      <c r="N8" s="24">
        <v>4.0</v>
      </c>
      <c r="O8" s="24">
        <v>4.0</v>
      </c>
      <c r="P8" s="24">
        <v>5.0</v>
      </c>
      <c r="Q8" s="25"/>
      <c r="R8" s="26">
        <f t="shared" si="1"/>
        <v>14</v>
      </c>
      <c r="S8" s="27">
        <f t="shared" si="2"/>
        <v>18</v>
      </c>
      <c r="T8" s="28">
        <f t="shared" si="3"/>
        <v>13</v>
      </c>
      <c r="U8" s="27">
        <f t="shared" si="4"/>
        <v>45</v>
      </c>
    </row>
    <row r="9">
      <c r="A9" s="21">
        <v>4.0</v>
      </c>
      <c r="B9" s="22" t="s">
        <v>33</v>
      </c>
      <c r="C9" s="29"/>
      <c r="D9" s="22">
        <v>2023.0</v>
      </c>
      <c r="E9" s="22" t="s">
        <v>31</v>
      </c>
      <c r="F9" s="22" t="s">
        <v>29</v>
      </c>
      <c r="G9" s="24">
        <v>5.0</v>
      </c>
      <c r="H9" s="24">
        <v>4.0</v>
      </c>
      <c r="I9" s="24">
        <v>5.0</v>
      </c>
      <c r="J9" s="24">
        <v>5.0</v>
      </c>
      <c r="K9" s="24">
        <v>5.0</v>
      </c>
      <c r="L9" s="24">
        <v>5.0</v>
      </c>
      <c r="M9" s="24">
        <v>4.0</v>
      </c>
      <c r="N9" s="24">
        <v>4.0</v>
      </c>
      <c r="O9" s="24">
        <v>4.0</v>
      </c>
      <c r="P9" s="24">
        <v>5.0</v>
      </c>
      <c r="Q9" s="25"/>
      <c r="R9" s="26">
        <f t="shared" si="1"/>
        <v>14</v>
      </c>
      <c r="S9" s="27">
        <f t="shared" si="2"/>
        <v>19</v>
      </c>
      <c r="T9" s="28">
        <f t="shared" si="3"/>
        <v>13</v>
      </c>
      <c r="U9" s="27">
        <f t="shared" si="4"/>
        <v>46</v>
      </c>
    </row>
    <row r="10">
      <c r="A10" s="21">
        <v>5.0</v>
      </c>
      <c r="B10" s="29"/>
      <c r="C10" s="29"/>
      <c r="D10" s="29"/>
      <c r="E10" s="22" t="s">
        <v>34</v>
      </c>
      <c r="F10" s="22" t="s">
        <v>29</v>
      </c>
      <c r="G10" s="24">
        <v>0.0</v>
      </c>
      <c r="H10" s="24">
        <v>0.0</v>
      </c>
      <c r="I10" s="24">
        <v>0.0</v>
      </c>
      <c r="J10" s="24">
        <v>0.0</v>
      </c>
      <c r="K10" s="24">
        <v>0.0</v>
      </c>
      <c r="L10" s="24">
        <v>0.0</v>
      </c>
      <c r="M10" s="24">
        <v>0.0</v>
      </c>
      <c r="N10" s="24">
        <v>0.0</v>
      </c>
      <c r="O10" s="24">
        <v>0.0</v>
      </c>
      <c r="P10" s="24">
        <v>0.0</v>
      </c>
      <c r="Q10" s="25"/>
      <c r="R10" s="26">
        <f t="shared" si="1"/>
        <v>0</v>
      </c>
      <c r="S10" s="27">
        <f t="shared" si="2"/>
        <v>0</v>
      </c>
      <c r="T10" s="28">
        <f t="shared" si="3"/>
        <v>0</v>
      </c>
      <c r="U10" s="27">
        <f t="shared" si="4"/>
        <v>0</v>
      </c>
    </row>
    <row r="11">
      <c r="A11" s="21">
        <v>6.0</v>
      </c>
      <c r="B11" s="29"/>
      <c r="C11" s="29"/>
      <c r="D11" s="29"/>
      <c r="E11" s="22" t="s">
        <v>34</v>
      </c>
      <c r="F11" s="22" t="s">
        <v>29</v>
      </c>
      <c r="G11" s="24">
        <v>0.0</v>
      </c>
      <c r="H11" s="24">
        <v>0.0</v>
      </c>
      <c r="I11" s="24">
        <v>0.0</v>
      </c>
      <c r="J11" s="24">
        <v>0.0</v>
      </c>
      <c r="K11" s="24">
        <v>0.0</v>
      </c>
      <c r="L11" s="24">
        <v>0.0</v>
      </c>
      <c r="M11" s="24">
        <v>0.0</v>
      </c>
      <c r="N11" s="24">
        <v>0.0</v>
      </c>
      <c r="O11" s="24">
        <v>0.0</v>
      </c>
      <c r="P11" s="24">
        <v>0.0</v>
      </c>
      <c r="Q11" s="25"/>
      <c r="R11" s="26">
        <f t="shared" si="1"/>
        <v>0</v>
      </c>
      <c r="S11" s="27">
        <f t="shared" si="2"/>
        <v>0</v>
      </c>
      <c r="T11" s="28">
        <f t="shared" si="3"/>
        <v>0</v>
      </c>
      <c r="U11" s="27">
        <f t="shared" si="4"/>
        <v>0</v>
      </c>
    </row>
    <row r="12">
      <c r="A12" s="21">
        <v>7.0</v>
      </c>
      <c r="B12" s="29"/>
      <c r="C12" s="29"/>
      <c r="D12" s="29"/>
      <c r="E12" s="22" t="s">
        <v>34</v>
      </c>
      <c r="F12" s="22" t="s">
        <v>29</v>
      </c>
      <c r="G12" s="24">
        <v>0.0</v>
      </c>
      <c r="H12" s="24">
        <v>0.0</v>
      </c>
      <c r="I12" s="24">
        <v>0.0</v>
      </c>
      <c r="J12" s="24">
        <v>0.0</v>
      </c>
      <c r="K12" s="24">
        <v>0.0</v>
      </c>
      <c r="L12" s="24">
        <v>0.0</v>
      </c>
      <c r="M12" s="24">
        <v>0.0</v>
      </c>
      <c r="N12" s="24">
        <v>0.0</v>
      </c>
      <c r="O12" s="24">
        <v>0.0</v>
      </c>
      <c r="P12" s="24">
        <v>0.0</v>
      </c>
      <c r="Q12" s="25"/>
      <c r="R12" s="26">
        <f t="shared" si="1"/>
        <v>0</v>
      </c>
      <c r="S12" s="27">
        <f t="shared" si="2"/>
        <v>0</v>
      </c>
      <c r="T12" s="28">
        <f t="shared" si="3"/>
        <v>0</v>
      </c>
      <c r="U12" s="27">
        <f t="shared" si="4"/>
        <v>0</v>
      </c>
    </row>
    <row r="13">
      <c r="A13" s="21">
        <v>8.0</v>
      </c>
      <c r="B13" s="29"/>
      <c r="C13" s="29"/>
      <c r="D13" s="29"/>
      <c r="E13" s="22" t="s">
        <v>34</v>
      </c>
      <c r="F13" s="22" t="s">
        <v>29</v>
      </c>
      <c r="G13" s="24">
        <v>0.0</v>
      </c>
      <c r="H13" s="24">
        <v>0.0</v>
      </c>
      <c r="I13" s="24">
        <v>0.0</v>
      </c>
      <c r="J13" s="24">
        <v>0.0</v>
      </c>
      <c r="K13" s="24">
        <v>0.0</v>
      </c>
      <c r="L13" s="24">
        <v>0.0</v>
      </c>
      <c r="M13" s="24">
        <v>0.0</v>
      </c>
      <c r="N13" s="24">
        <v>0.0</v>
      </c>
      <c r="O13" s="24">
        <v>0.0</v>
      </c>
      <c r="P13" s="24">
        <v>0.0</v>
      </c>
      <c r="Q13" s="25"/>
      <c r="R13" s="26">
        <f t="shared" si="1"/>
        <v>0</v>
      </c>
      <c r="S13" s="27">
        <f t="shared" si="2"/>
        <v>0</v>
      </c>
      <c r="T13" s="28">
        <f t="shared" si="3"/>
        <v>0</v>
      </c>
      <c r="U13" s="27">
        <f t="shared" si="4"/>
        <v>0</v>
      </c>
    </row>
    <row r="14">
      <c r="A14" s="21">
        <v>9.0</v>
      </c>
      <c r="B14" s="29"/>
      <c r="C14" s="29"/>
      <c r="D14" s="29"/>
      <c r="E14" s="22" t="s">
        <v>34</v>
      </c>
      <c r="F14" s="22" t="s">
        <v>29</v>
      </c>
      <c r="G14" s="24">
        <v>0.0</v>
      </c>
      <c r="H14" s="24">
        <v>0.0</v>
      </c>
      <c r="I14" s="24">
        <v>0.0</v>
      </c>
      <c r="J14" s="24">
        <v>0.0</v>
      </c>
      <c r="K14" s="24">
        <v>0.0</v>
      </c>
      <c r="L14" s="24">
        <v>0.0</v>
      </c>
      <c r="M14" s="24">
        <v>0.0</v>
      </c>
      <c r="N14" s="24">
        <v>0.0</v>
      </c>
      <c r="O14" s="24">
        <v>0.0</v>
      </c>
      <c r="P14" s="24">
        <v>0.0</v>
      </c>
      <c r="Q14" s="25"/>
      <c r="R14" s="26">
        <f t="shared" si="1"/>
        <v>0</v>
      </c>
      <c r="S14" s="27">
        <f t="shared" si="2"/>
        <v>0</v>
      </c>
      <c r="T14" s="28">
        <f t="shared" si="3"/>
        <v>0</v>
      </c>
      <c r="U14" s="27">
        <f t="shared" si="4"/>
        <v>0</v>
      </c>
    </row>
    <row r="15">
      <c r="A15" s="21">
        <v>10.0</v>
      </c>
      <c r="B15" s="29"/>
      <c r="C15" s="29"/>
      <c r="D15" s="29"/>
      <c r="E15" s="22" t="s">
        <v>34</v>
      </c>
      <c r="F15" s="22" t="s">
        <v>29</v>
      </c>
      <c r="G15" s="24">
        <v>0.0</v>
      </c>
      <c r="H15" s="24">
        <v>0.0</v>
      </c>
      <c r="I15" s="24">
        <v>0.0</v>
      </c>
      <c r="J15" s="24">
        <v>0.0</v>
      </c>
      <c r="K15" s="24">
        <v>0.0</v>
      </c>
      <c r="L15" s="24">
        <v>0.0</v>
      </c>
      <c r="M15" s="24">
        <v>0.0</v>
      </c>
      <c r="N15" s="24">
        <v>0.0</v>
      </c>
      <c r="O15" s="24">
        <v>0.0</v>
      </c>
      <c r="P15" s="24">
        <v>0.0</v>
      </c>
      <c r="Q15" s="25"/>
      <c r="R15" s="26">
        <f t="shared" si="1"/>
        <v>0</v>
      </c>
      <c r="S15" s="27">
        <f t="shared" si="2"/>
        <v>0</v>
      </c>
      <c r="T15" s="28">
        <f t="shared" si="3"/>
        <v>0</v>
      </c>
      <c r="U15" s="27">
        <f t="shared" si="4"/>
        <v>0</v>
      </c>
    </row>
    <row r="16">
      <c r="A16" s="21">
        <v>11.0</v>
      </c>
      <c r="B16" s="29"/>
      <c r="C16" s="29"/>
      <c r="D16" s="29"/>
      <c r="E16" s="22" t="s">
        <v>34</v>
      </c>
      <c r="F16" s="22" t="s">
        <v>29</v>
      </c>
      <c r="G16" s="24">
        <v>0.0</v>
      </c>
      <c r="H16" s="24">
        <v>0.0</v>
      </c>
      <c r="I16" s="24">
        <v>0.0</v>
      </c>
      <c r="J16" s="24">
        <v>0.0</v>
      </c>
      <c r="K16" s="24">
        <v>0.0</v>
      </c>
      <c r="L16" s="24">
        <v>0.0</v>
      </c>
      <c r="M16" s="24">
        <v>0.0</v>
      </c>
      <c r="N16" s="24">
        <v>0.0</v>
      </c>
      <c r="O16" s="24">
        <v>0.0</v>
      </c>
      <c r="P16" s="24">
        <v>0.0</v>
      </c>
      <c r="Q16" s="25"/>
      <c r="R16" s="26">
        <f t="shared" si="1"/>
        <v>0</v>
      </c>
      <c r="S16" s="27">
        <f t="shared" si="2"/>
        <v>0</v>
      </c>
      <c r="T16" s="28">
        <f t="shared" si="3"/>
        <v>0</v>
      </c>
      <c r="U16" s="27">
        <f t="shared" si="4"/>
        <v>0</v>
      </c>
    </row>
    <row r="17">
      <c r="A17" s="21">
        <v>12.0</v>
      </c>
      <c r="B17" s="29"/>
      <c r="C17" s="29"/>
      <c r="D17" s="29"/>
      <c r="E17" s="22" t="s">
        <v>34</v>
      </c>
      <c r="F17" s="22" t="s">
        <v>29</v>
      </c>
      <c r="G17" s="24">
        <v>0.0</v>
      </c>
      <c r="H17" s="24">
        <v>0.0</v>
      </c>
      <c r="I17" s="24">
        <v>0.0</v>
      </c>
      <c r="J17" s="24">
        <v>0.0</v>
      </c>
      <c r="K17" s="24">
        <v>0.0</v>
      </c>
      <c r="L17" s="24">
        <v>0.0</v>
      </c>
      <c r="M17" s="24">
        <v>0.0</v>
      </c>
      <c r="N17" s="24">
        <v>0.0</v>
      </c>
      <c r="O17" s="24">
        <v>0.0</v>
      </c>
      <c r="P17" s="24">
        <v>0.0</v>
      </c>
      <c r="Q17" s="25"/>
      <c r="R17" s="26">
        <f t="shared" si="1"/>
        <v>0</v>
      </c>
      <c r="S17" s="27">
        <f t="shared" si="2"/>
        <v>0</v>
      </c>
      <c r="T17" s="28">
        <f t="shared" si="3"/>
        <v>0</v>
      </c>
      <c r="U17" s="27">
        <f t="shared" si="4"/>
        <v>0</v>
      </c>
    </row>
    <row r="18">
      <c r="A18" s="21">
        <v>13.0</v>
      </c>
      <c r="B18" s="29"/>
      <c r="C18" s="29"/>
      <c r="D18" s="29"/>
      <c r="E18" s="22" t="s">
        <v>34</v>
      </c>
      <c r="F18" s="22" t="s">
        <v>29</v>
      </c>
      <c r="G18" s="24">
        <v>0.0</v>
      </c>
      <c r="H18" s="24">
        <v>0.0</v>
      </c>
      <c r="I18" s="24">
        <v>0.0</v>
      </c>
      <c r="J18" s="24">
        <v>0.0</v>
      </c>
      <c r="K18" s="24">
        <v>0.0</v>
      </c>
      <c r="L18" s="24">
        <v>0.0</v>
      </c>
      <c r="M18" s="24">
        <v>0.0</v>
      </c>
      <c r="N18" s="24">
        <v>0.0</v>
      </c>
      <c r="O18" s="24">
        <v>0.0</v>
      </c>
      <c r="P18" s="24">
        <v>0.0</v>
      </c>
      <c r="Q18" s="25"/>
      <c r="R18" s="26">
        <f t="shared" si="1"/>
        <v>0</v>
      </c>
      <c r="S18" s="27">
        <f t="shared" si="2"/>
        <v>0</v>
      </c>
      <c r="T18" s="28">
        <f t="shared" si="3"/>
        <v>0</v>
      </c>
      <c r="U18" s="27">
        <f t="shared" si="4"/>
        <v>0</v>
      </c>
    </row>
    <row r="19">
      <c r="A19" s="21">
        <v>14.0</v>
      </c>
      <c r="B19" s="29"/>
      <c r="C19" s="29"/>
      <c r="D19" s="29"/>
      <c r="E19" s="22" t="s">
        <v>34</v>
      </c>
      <c r="F19" s="22" t="s">
        <v>29</v>
      </c>
      <c r="G19" s="24">
        <v>0.0</v>
      </c>
      <c r="H19" s="24">
        <v>0.0</v>
      </c>
      <c r="I19" s="24">
        <v>0.0</v>
      </c>
      <c r="J19" s="24">
        <v>0.0</v>
      </c>
      <c r="K19" s="24">
        <v>0.0</v>
      </c>
      <c r="L19" s="24">
        <v>0.0</v>
      </c>
      <c r="M19" s="24">
        <v>0.0</v>
      </c>
      <c r="N19" s="24">
        <v>0.0</v>
      </c>
      <c r="O19" s="24">
        <v>0.0</v>
      </c>
      <c r="P19" s="24">
        <v>0.0</v>
      </c>
      <c r="Q19" s="25"/>
      <c r="R19" s="26">
        <f t="shared" si="1"/>
        <v>0</v>
      </c>
      <c r="S19" s="27">
        <f t="shared" si="2"/>
        <v>0</v>
      </c>
      <c r="T19" s="28">
        <f t="shared" si="3"/>
        <v>0</v>
      </c>
      <c r="U19" s="27">
        <f t="shared" si="4"/>
        <v>0</v>
      </c>
    </row>
    <row r="20">
      <c r="A20" s="21">
        <v>15.0</v>
      </c>
      <c r="B20" s="29"/>
      <c r="C20" s="29"/>
      <c r="D20" s="29"/>
      <c r="E20" s="22" t="s">
        <v>34</v>
      </c>
      <c r="F20" s="22" t="s">
        <v>29</v>
      </c>
      <c r="G20" s="24">
        <v>0.0</v>
      </c>
      <c r="H20" s="24">
        <v>0.0</v>
      </c>
      <c r="I20" s="24">
        <v>0.0</v>
      </c>
      <c r="J20" s="24">
        <v>0.0</v>
      </c>
      <c r="K20" s="24">
        <v>0.0</v>
      </c>
      <c r="L20" s="24">
        <v>0.0</v>
      </c>
      <c r="M20" s="24">
        <v>0.0</v>
      </c>
      <c r="N20" s="24">
        <v>0.0</v>
      </c>
      <c r="O20" s="24">
        <v>0.0</v>
      </c>
      <c r="P20" s="24">
        <v>0.0</v>
      </c>
      <c r="Q20" s="25"/>
      <c r="R20" s="26">
        <f t="shared" si="1"/>
        <v>0</v>
      </c>
      <c r="S20" s="27">
        <f t="shared" si="2"/>
        <v>0</v>
      </c>
      <c r="T20" s="28">
        <f t="shared" si="3"/>
        <v>0</v>
      </c>
      <c r="U20" s="27">
        <f t="shared" si="4"/>
        <v>0</v>
      </c>
    </row>
    <row r="21">
      <c r="A21" s="21">
        <v>16.0</v>
      </c>
      <c r="B21" s="29"/>
      <c r="C21" s="29"/>
      <c r="D21" s="29"/>
      <c r="E21" s="22" t="s">
        <v>34</v>
      </c>
      <c r="F21" s="22" t="s">
        <v>29</v>
      </c>
      <c r="G21" s="24">
        <v>0.0</v>
      </c>
      <c r="H21" s="24">
        <v>0.0</v>
      </c>
      <c r="I21" s="24">
        <v>0.0</v>
      </c>
      <c r="J21" s="24">
        <v>0.0</v>
      </c>
      <c r="K21" s="24">
        <v>0.0</v>
      </c>
      <c r="L21" s="24">
        <v>0.0</v>
      </c>
      <c r="M21" s="24">
        <v>0.0</v>
      </c>
      <c r="N21" s="24">
        <v>0.0</v>
      </c>
      <c r="O21" s="24">
        <v>0.0</v>
      </c>
      <c r="P21" s="24">
        <v>0.0</v>
      </c>
      <c r="Q21" s="25"/>
      <c r="R21" s="26">
        <f t="shared" si="1"/>
        <v>0</v>
      </c>
      <c r="S21" s="27">
        <f t="shared" si="2"/>
        <v>0</v>
      </c>
      <c r="T21" s="28">
        <f t="shared" si="3"/>
        <v>0</v>
      </c>
      <c r="U21" s="27">
        <f t="shared" si="4"/>
        <v>0</v>
      </c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</sheetData>
  <mergeCells count="11">
    <mergeCell ref="G4:J4"/>
    <mergeCell ref="K4:M4"/>
    <mergeCell ref="N4:P4"/>
    <mergeCell ref="R4:U4"/>
    <mergeCell ref="F1:K1"/>
    <mergeCell ref="H2:I2"/>
    <mergeCell ref="A4:A5"/>
    <mergeCell ref="B4:B5"/>
    <mergeCell ref="C4:C5"/>
    <mergeCell ref="D4:D5"/>
    <mergeCell ref="E4:E5"/>
  </mergeCells>
  <conditionalFormatting sqref="B1:B5 B10:B1001">
    <cfRule type="notContainsBlanks" dxfId="0" priority="1">
      <formula>LEN(TRIM(B1))&gt;0</formula>
    </cfRule>
  </conditionalFormatting>
  <dataValidations>
    <dataValidation type="list" allowBlank="1" showErrorMessage="1" sqref="G6:P21">
      <formula1>"1,2,3,4,5"</formula1>
    </dataValidation>
    <dataValidation type="list" allowBlank="1" showErrorMessage="1" sqref="E6:E9">
      <formula1>"Đang kiểm tra,Trưởng phòng nhân sự,Nhân viên "</formula1>
    </dataValidation>
    <dataValidation type="list" allowBlank="1" showErrorMessage="1" sqref="E10:E21">
      <formula1>"Đang kiểm tra,Trưởng phòng nhân sự,Nhân viên ,Cộng tác viên,Leader"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75"/>
  <cols>
    <col customWidth="1" min="1" max="1" width="5.63"/>
    <col customWidth="1" min="2" max="2" width="22.25"/>
    <col customWidth="1" min="5" max="5" width="28.25"/>
    <col customWidth="1" min="6" max="6" width="13.25"/>
    <col customWidth="1" min="7" max="7" width="18.88"/>
    <col customWidth="1" min="8" max="8" width="18.5"/>
    <col customWidth="1" min="9" max="9" width="15.5"/>
    <col customWidth="1" min="10" max="10" width="16.38"/>
    <col customWidth="1" min="11" max="11" width="13.88"/>
    <col customWidth="1" min="12" max="13" width="14.13"/>
    <col customWidth="1" min="14" max="14" width="13.63"/>
    <col customWidth="1" min="16" max="16" width="13.38"/>
  </cols>
  <sheetData>
    <row r="1">
      <c r="A1" s="1"/>
      <c r="F1" s="31" t="s">
        <v>0</v>
      </c>
      <c r="G1" s="32"/>
      <c r="H1" s="32"/>
      <c r="I1" s="32"/>
      <c r="J1" s="32"/>
      <c r="K1" s="33"/>
    </row>
    <row r="2">
      <c r="A2" s="1"/>
      <c r="H2" s="5" t="s">
        <v>44</v>
      </c>
      <c r="L2" s="6"/>
      <c r="M2" s="6"/>
    </row>
    <row r="3">
      <c r="A3" s="1"/>
    </row>
    <row r="4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9" t="s">
        <v>8</v>
      </c>
      <c r="H4" s="10"/>
      <c r="I4" s="11"/>
      <c r="J4" s="12" t="s">
        <v>9</v>
      </c>
      <c r="K4" s="10"/>
      <c r="L4" s="11"/>
      <c r="M4" s="41"/>
      <c r="N4" s="13" t="s">
        <v>10</v>
      </c>
      <c r="O4" s="10"/>
      <c r="P4" s="11"/>
      <c r="R4" s="14" t="s">
        <v>11</v>
      </c>
      <c r="S4" s="10"/>
      <c r="T4" s="10"/>
      <c r="U4" s="11"/>
    </row>
    <row r="5" ht="112.5" customHeight="1">
      <c r="A5" s="15"/>
      <c r="B5" s="15"/>
      <c r="C5" s="15"/>
      <c r="D5" s="15"/>
      <c r="E5" s="15"/>
      <c r="F5" s="8" t="s">
        <v>12</v>
      </c>
      <c r="G5" s="16" t="s">
        <v>13</v>
      </c>
      <c r="H5" s="16" t="s">
        <v>36</v>
      </c>
      <c r="I5" s="16" t="s">
        <v>15</v>
      </c>
      <c r="J5" s="17" t="s">
        <v>38</v>
      </c>
      <c r="K5" s="18" t="s">
        <v>43</v>
      </c>
      <c r="L5" s="17" t="s">
        <v>18</v>
      </c>
      <c r="M5" s="17" t="s">
        <v>19</v>
      </c>
      <c r="N5" s="17" t="s">
        <v>20</v>
      </c>
      <c r="O5" s="17" t="s">
        <v>21</v>
      </c>
      <c r="P5" s="17" t="s">
        <v>22</v>
      </c>
      <c r="R5" s="19" t="s">
        <v>23</v>
      </c>
      <c r="S5" s="19" t="s">
        <v>24</v>
      </c>
      <c r="T5" s="19" t="s">
        <v>25</v>
      </c>
      <c r="U5" s="20" t="s">
        <v>26</v>
      </c>
    </row>
    <row r="6">
      <c r="A6" s="34">
        <v>1.0</v>
      </c>
      <c r="B6" s="22" t="s">
        <v>27</v>
      </c>
      <c r="C6" s="23"/>
      <c r="D6" s="22">
        <v>2023.0</v>
      </c>
      <c r="E6" s="22" t="s">
        <v>28</v>
      </c>
      <c r="F6" s="22" t="s">
        <v>29</v>
      </c>
      <c r="G6" s="24">
        <v>4.0</v>
      </c>
      <c r="H6" s="24">
        <v>4.0</v>
      </c>
      <c r="I6" s="24">
        <v>5.0</v>
      </c>
      <c r="J6" s="24">
        <v>5.0</v>
      </c>
      <c r="K6" s="24">
        <v>5.0</v>
      </c>
      <c r="L6" s="24">
        <v>4.0</v>
      </c>
      <c r="M6" s="24">
        <v>4.0</v>
      </c>
      <c r="N6" s="24">
        <v>4.0</v>
      </c>
      <c r="O6" s="24">
        <v>4.0</v>
      </c>
      <c r="P6" s="24">
        <v>5.0</v>
      </c>
      <c r="Q6" s="25"/>
      <c r="R6" s="26">
        <f t="shared" ref="R6:R21" si="1">SUM(G6:I6)</f>
        <v>13</v>
      </c>
      <c r="S6" s="27">
        <f t="shared" ref="S6:S21" si="2">SUM(J6:M6)</f>
        <v>18</v>
      </c>
      <c r="T6" s="28">
        <f t="shared" ref="T6:T21" si="3">SUM(N6:P6)</f>
        <v>13</v>
      </c>
      <c r="U6" s="27">
        <f t="shared" ref="U6:U21" si="4">SUM(R6:T6)</f>
        <v>44</v>
      </c>
    </row>
    <row r="7">
      <c r="A7" s="34">
        <v>2.0</v>
      </c>
      <c r="B7" s="22" t="s">
        <v>30</v>
      </c>
      <c r="C7" s="29"/>
      <c r="D7" s="22">
        <v>2023.0</v>
      </c>
      <c r="E7" s="22" t="s">
        <v>31</v>
      </c>
      <c r="F7" s="22" t="s">
        <v>29</v>
      </c>
      <c r="G7" s="24">
        <v>4.0</v>
      </c>
      <c r="H7" s="24">
        <v>4.0</v>
      </c>
      <c r="I7" s="24">
        <v>5.0</v>
      </c>
      <c r="J7" s="24">
        <v>5.0</v>
      </c>
      <c r="K7" s="24">
        <v>5.0</v>
      </c>
      <c r="L7" s="24">
        <v>3.0</v>
      </c>
      <c r="M7" s="24">
        <v>4.0</v>
      </c>
      <c r="N7" s="24">
        <v>4.0</v>
      </c>
      <c r="O7" s="24">
        <v>4.0</v>
      </c>
      <c r="P7" s="24">
        <v>5.0</v>
      </c>
      <c r="Q7" s="25"/>
      <c r="R7" s="26">
        <f t="shared" si="1"/>
        <v>13</v>
      </c>
      <c r="S7" s="27">
        <f t="shared" si="2"/>
        <v>17</v>
      </c>
      <c r="T7" s="28">
        <f t="shared" si="3"/>
        <v>13</v>
      </c>
      <c r="U7" s="27">
        <f t="shared" si="4"/>
        <v>43</v>
      </c>
    </row>
    <row r="8">
      <c r="A8" s="34">
        <v>3.0</v>
      </c>
      <c r="B8" s="22" t="s">
        <v>32</v>
      </c>
      <c r="C8" s="29"/>
      <c r="D8" s="22">
        <v>2023.0</v>
      </c>
      <c r="E8" s="22" t="s">
        <v>31</v>
      </c>
      <c r="F8" s="22" t="s">
        <v>29</v>
      </c>
      <c r="G8" s="24">
        <v>5.0</v>
      </c>
      <c r="H8" s="24">
        <v>4.0</v>
      </c>
      <c r="I8" s="24">
        <v>5.0</v>
      </c>
      <c r="J8" s="24">
        <v>5.0</v>
      </c>
      <c r="K8" s="24">
        <v>5.0</v>
      </c>
      <c r="L8" s="24">
        <v>4.0</v>
      </c>
      <c r="M8" s="24">
        <v>4.0</v>
      </c>
      <c r="N8" s="24">
        <v>4.0</v>
      </c>
      <c r="O8" s="24">
        <v>4.0</v>
      </c>
      <c r="P8" s="24">
        <v>5.0</v>
      </c>
      <c r="Q8" s="25"/>
      <c r="R8" s="26">
        <f t="shared" si="1"/>
        <v>14</v>
      </c>
      <c r="S8" s="27">
        <f t="shared" si="2"/>
        <v>18</v>
      </c>
      <c r="T8" s="28">
        <f t="shared" si="3"/>
        <v>13</v>
      </c>
      <c r="U8" s="27">
        <f t="shared" si="4"/>
        <v>45</v>
      </c>
    </row>
    <row r="9">
      <c r="A9" s="34">
        <v>4.0</v>
      </c>
      <c r="B9" s="22" t="s">
        <v>33</v>
      </c>
      <c r="C9" s="29"/>
      <c r="D9" s="22">
        <v>2023.0</v>
      </c>
      <c r="E9" s="22" t="s">
        <v>31</v>
      </c>
      <c r="F9" s="22" t="s">
        <v>29</v>
      </c>
      <c r="G9" s="24">
        <v>5.0</v>
      </c>
      <c r="H9" s="24">
        <v>4.0</v>
      </c>
      <c r="I9" s="24">
        <v>5.0</v>
      </c>
      <c r="J9" s="24">
        <v>5.0</v>
      </c>
      <c r="K9" s="24">
        <v>5.0</v>
      </c>
      <c r="L9" s="24">
        <v>5.0</v>
      </c>
      <c r="M9" s="24">
        <v>4.0</v>
      </c>
      <c r="N9" s="24">
        <v>4.0</v>
      </c>
      <c r="O9" s="24">
        <v>4.0</v>
      </c>
      <c r="P9" s="24">
        <v>5.0</v>
      </c>
      <c r="Q9" s="25"/>
      <c r="R9" s="26">
        <f t="shared" si="1"/>
        <v>14</v>
      </c>
      <c r="S9" s="27">
        <f t="shared" si="2"/>
        <v>19</v>
      </c>
      <c r="T9" s="28">
        <f t="shared" si="3"/>
        <v>13</v>
      </c>
      <c r="U9" s="27">
        <f t="shared" si="4"/>
        <v>46</v>
      </c>
    </row>
    <row r="10">
      <c r="A10" s="34">
        <v>5.0</v>
      </c>
      <c r="B10" s="29"/>
      <c r="C10" s="29"/>
      <c r="D10" s="29"/>
      <c r="E10" s="22" t="s">
        <v>34</v>
      </c>
      <c r="F10" s="22" t="s">
        <v>29</v>
      </c>
      <c r="G10" s="24">
        <v>0.0</v>
      </c>
      <c r="H10" s="24">
        <v>0.0</v>
      </c>
      <c r="I10" s="24">
        <v>0.0</v>
      </c>
      <c r="J10" s="24">
        <v>0.0</v>
      </c>
      <c r="K10" s="24">
        <v>0.0</v>
      </c>
      <c r="L10" s="24">
        <v>0.0</v>
      </c>
      <c r="M10" s="24">
        <v>0.0</v>
      </c>
      <c r="N10" s="24">
        <v>0.0</v>
      </c>
      <c r="O10" s="24">
        <v>0.0</v>
      </c>
      <c r="P10" s="24">
        <v>0.0</v>
      </c>
      <c r="Q10" s="25"/>
      <c r="R10" s="26">
        <f t="shared" si="1"/>
        <v>0</v>
      </c>
      <c r="S10" s="27">
        <f t="shared" si="2"/>
        <v>0</v>
      </c>
      <c r="T10" s="28">
        <f t="shared" si="3"/>
        <v>0</v>
      </c>
      <c r="U10" s="27">
        <f t="shared" si="4"/>
        <v>0</v>
      </c>
    </row>
    <row r="11">
      <c r="A11" s="34">
        <v>6.0</v>
      </c>
      <c r="B11" s="29"/>
      <c r="C11" s="29"/>
      <c r="D11" s="29"/>
      <c r="E11" s="22" t="s">
        <v>34</v>
      </c>
      <c r="F11" s="22" t="s">
        <v>29</v>
      </c>
      <c r="G11" s="24">
        <v>0.0</v>
      </c>
      <c r="H11" s="24">
        <v>0.0</v>
      </c>
      <c r="I11" s="24">
        <v>0.0</v>
      </c>
      <c r="J11" s="24">
        <v>0.0</v>
      </c>
      <c r="K11" s="24">
        <v>0.0</v>
      </c>
      <c r="L11" s="24">
        <v>0.0</v>
      </c>
      <c r="M11" s="24">
        <v>0.0</v>
      </c>
      <c r="N11" s="24">
        <v>0.0</v>
      </c>
      <c r="O11" s="24">
        <v>0.0</v>
      </c>
      <c r="P11" s="24">
        <v>0.0</v>
      </c>
      <c r="Q11" s="25"/>
      <c r="R11" s="26">
        <f t="shared" si="1"/>
        <v>0</v>
      </c>
      <c r="S11" s="27">
        <f t="shared" si="2"/>
        <v>0</v>
      </c>
      <c r="T11" s="28">
        <f t="shared" si="3"/>
        <v>0</v>
      </c>
      <c r="U11" s="27">
        <f t="shared" si="4"/>
        <v>0</v>
      </c>
    </row>
    <row r="12">
      <c r="A12" s="34">
        <v>7.0</v>
      </c>
      <c r="B12" s="29"/>
      <c r="C12" s="29"/>
      <c r="D12" s="29"/>
      <c r="E12" s="22" t="s">
        <v>34</v>
      </c>
      <c r="F12" s="22" t="s">
        <v>29</v>
      </c>
      <c r="G12" s="24">
        <v>0.0</v>
      </c>
      <c r="H12" s="24">
        <v>0.0</v>
      </c>
      <c r="I12" s="24">
        <v>0.0</v>
      </c>
      <c r="J12" s="24">
        <v>0.0</v>
      </c>
      <c r="K12" s="24">
        <v>0.0</v>
      </c>
      <c r="L12" s="24">
        <v>0.0</v>
      </c>
      <c r="M12" s="24">
        <v>0.0</v>
      </c>
      <c r="N12" s="24">
        <v>0.0</v>
      </c>
      <c r="O12" s="24">
        <v>0.0</v>
      </c>
      <c r="P12" s="24">
        <v>0.0</v>
      </c>
      <c r="Q12" s="25"/>
      <c r="R12" s="26">
        <f t="shared" si="1"/>
        <v>0</v>
      </c>
      <c r="S12" s="27">
        <f t="shared" si="2"/>
        <v>0</v>
      </c>
      <c r="T12" s="28">
        <f t="shared" si="3"/>
        <v>0</v>
      </c>
      <c r="U12" s="27">
        <f t="shared" si="4"/>
        <v>0</v>
      </c>
    </row>
    <row r="13">
      <c r="A13" s="34">
        <v>8.0</v>
      </c>
      <c r="B13" s="29"/>
      <c r="C13" s="29"/>
      <c r="D13" s="29"/>
      <c r="E13" s="22" t="s">
        <v>34</v>
      </c>
      <c r="F13" s="22" t="s">
        <v>29</v>
      </c>
      <c r="G13" s="24">
        <v>0.0</v>
      </c>
      <c r="H13" s="24">
        <v>0.0</v>
      </c>
      <c r="I13" s="24">
        <v>0.0</v>
      </c>
      <c r="J13" s="24">
        <v>0.0</v>
      </c>
      <c r="K13" s="24">
        <v>0.0</v>
      </c>
      <c r="L13" s="24">
        <v>0.0</v>
      </c>
      <c r="M13" s="24">
        <v>0.0</v>
      </c>
      <c r="N13" s="24">
        <v>0.0</v>
      </c>
      <c r="O13" s="24">
        <v>0.0</v>
      </c>
      <c r="P13" s="24">
        <v>0.0</v>
      </c>
      <c r="Q13" s="25"/>
      <c r="R13" s="26">
        <f t="shared" si="1"/>
        <v>0</v>
      </c>
      <c r="S13" s="27">
        <f t="shared" si="2"/>
        <v>0</v>
      </c>
      <c r="T13" s="28">
        <f t="shared" si="3"/>
        <v>0</v>
      </c>
      <c r="U13" s="27">
        <f t="shared" si="4"/>
        <v>0</v>
      </c>
    </row>
    <row r="14">
      <c r="A14" s="34">
        <v>9.0</v>
      </c>
      <c r="B14" s="29"/>
      <c r="C14" s="29"/>
      <c r="D14" s="29"/>
      <c r="E14" s="22" t="s">
        <v>34</v>
      </c>
      <c r="F14" s="22" t="s">
        <v>29</v>
      </c>
      <c r="G14" s="24">
        <v>0.0</v>
      </c>
      <c r="H14" s="24">
        <v>0.0</v>
      </c>
      <c r="I14" s="24">
        <v>0.0</v>
      </c>
      <c r="J14" s="24">
        <v>0.0</v>
      </c>
      <c r="K14" s="24">
        <v>0.0</v>
      </c>
      <c r="L14" s="24">
        <v>0.0</v>
      </c>
      <c r="M14" s="24">
        <v>0.0</v>
      </c>
      <c r="N14" s="24">
        <v>0.0</v>
      </c>
      <c r="O14" s="24">
        <v>0.0</v>
      </c>
      <c r="P14" s="24">
        <v>0.0</v>
      </c>
      <c r="Q14" s="25"/>
      <c r="R14" s="26">
        <f t="shared" si="1"/>
        <v>0</v>
      </c>
      <c r="S14" s="27">
        <f t="shared" si="2"/>
        <v>0</v>
      </c>
      <c r="T14" s="28">
        <f t="shared" si="3"/>
        <v>0</v>
      </c>
      <c r="U14" s="27">
        <f t="shared" si="4"/>
        <v>0</v>
      </c>
    </row>
    <row r="15">
      <c r="A15" s="34">
        <v>10.0</v>
      </c>
      <c r="B15" s="29"/>
      <c r="C15" s="29"/>
      <c r="D15" s="29"/>
      <c r="E15" s="22" t="s">
        <v>34</v>
      </c>
      <c r="F15" s="22" t="s">
        <v>29</v>
      </c>
      <c r="G15" s="24">
        <v>0.0</v>
      </c>
      <c r="H15" s="24">
        <v>0.0</v>
      </c>
      <c r="I15" s="24">
        <v>0.0</v>
      </c>
      <c r="J15" s="24">
        <v>0.0</v>
      </c>
      <c r="K15" s="24">
        <v>0.0</v>
      </c>
      <c r="L15" s="24">
        <v>0.0</v>
      </c>
      <c r="M15" s="24">
        <v>0.0</v>
      </c>
      <c r="N15" s="24">
        <v>0.0</v>
      </c>
      <c r="O15" s="24">
        <v>0.0</v>
      </c>
      <c r="P15" s="24">
        <v>0.0</v>
      </c>
      <c r="Q15" s="25"/>
      <c r="R15" s="26">
        <f t="shared" si="1"/>
        <v>0</v>
      </c>
      <c r="S15" s="27">
        <f t="shared" si="2"/>
        <v>0</v>
      </c>
      <c r="T15" s="28">
        <f t="shared" si="3"/>
        <v>0</v>
      </c>
      <c r="U15" s="27">
        <f t="shared" si="4"/>
        <v>0</v>
      </c>
    </row>
    <row r="16">
      <c r="A16" s="34">
        <v>11.0</v>
      </c>
      <c r="B16" s="29"/>
      <c r="C16" s="29"/>
      <c r="D16" s="29"/>
      <c r="E16" s="22" t="s">
        <v>34</v>
      </c>
      <c r="F16" s="22" t="s">
        <v>29</v>
      </c>
      <c r="G16" s="24">
        <v>0.0</v>
      </c>
      <c r="H16" s="24">
        <v>0.0</v>
      </c>
      <c r="I16" s="24">
        <v>0.0</v>
      </c>
      <c r="J16" s="24">
        <v>0.0</v>
      </c>
      <c r="K16" s="24">
        <v>0.0</v>
      </c>
      <c r="L16" s="24">
        <v>0.0</v>
      </c>
      <c r="M16" s="24">
        <v>0.0</v>
      </c>
      <c r="N16" s="24">
        <v>0.0</v>
      </c>
      <c r="O16" s="24">
        <v>0.0</v>
      </c>
      <c r="P16" s="24">
        <v>0.0</v>
      </c>
      <c r="Q16" s="25"/>
      <c r="R16" s="26">
        <f t="shared" si="1"/>
        <v>0</v>
      </c>
      <c r="S16" s="27">
        <f t="shared" si="2"/>
        <v>0</v>
      </c>
      <c r="T16" s="28">
        <f t="shared" si="3"/>
        <v>0</v>
      </c>
      <c r="U16" s="27">
        <f t="shared" si="4"/>
        <v>0</v>
      </c>
    </row>
    <row r="17">
      <c r="A17" s="34">
        <v>12.0</v>
      </c>
      <c r="B17" s="29"/>
      <c r="C17" s="29"/>
      <c r="D17" s="29"/>
      <c r="E17" s="22" t="s">
        <v>34</v>
      </c>
      <c r="F17" s="22" t="s">
        <v>29</v>
      </c>
      <c r="G17" s="24">
        <v>0.0</v>
      </c>
      <c r="H17" s="24">
        <v>0.0</v>
      </c>
      <c r="I17" s="24">
        <v>0.0</v>
      </c>
      <c r="J17" s="24">
        <v>0.0</v>
      </c>
      <c r="K17" s="24">
        <v>0.0</v>
      </c>
      <c r="L17" s="24">
        <v>0.0</v>
      </c>
      <c r="M17" s="24">
        <v>0.0</v>
      </c>
      <c r="N17" s="24">
        <v>0.0</v>
      </c>
      <c r="O17" s="24">
        <v>0.0</v>
      </c>
      <c r="P17" s="24">
        <v>0.0</v>
      </c>
      <c r="Q17" s="25"/>
      <c r="R17" s="26">
        <f t="shared" si="1"/>
        <v>0</v>
      </c>
      <c r="S17" s="27">
        <f t="shared" si="2"/>
        <v>0</v>
      </c>
      <c r="T17" s="28">
        <f t="shared" si="3"/>
        <v>0</v>
      </c>
      <c r="U17" s="27">
        <f t="shared" si="4"/>
        <v>0</v>
      </c>
    </row>
    <row r="18">
      <c r="A18" s="34">
        <v>13.0</v>
      </c>
      <c r="B18" s="29"/>
      <c r="C18" s="29"/>
      <c r="D18" s="29"/>
      <c r="E18" s="22" t="s">
        <v>34</v>
      </c>
      <c r="F18" s="22" t="s">
        <v>29</v>
      </c>
      <c r="G18" s="24">
        <v>0.0</v>
      </c>
      <c r="H18" s="24">
        <v>0.0</v>
      </c>
      <c r="I18" s="24">
        <v>0.0</v>
      </c>
      <c r="J18" s="24">
        <v>0.0</v>
      </c>
      <c r="K18" s="24">
        <v>0.0</v>
      </c>
      <c r="L18" s="24">
        <v>0.0</v>
      </c>
      <c r="M18" s="24">
        <v>0.0</v>
      </c>
      <c r="N18" s="24">
        <v>0.0</v>
      </c>
      <c r="O18" s="24">
        <v>0.0</v>
      </c>
      <c r="P18" s="24">
        <v>0.0</v>
      </c>
      <c r="Q18" s="25"/>
      <c r="R18" s="26">
        <f t="shared" si="1"/>
        <v>0</v>
      </c>
      <c r="S18" s="27">
        <f t="shared" si="2"/>
        <v>0</v>
      </c>
      <c r="T18" s="28">
        <f t="shared" si="3"/>
        <v>0</v>
      </c>
      <c r="U18" s="27">
        <f t="shared" si="4"/>
        <v>0</v>
      </c>
    </row>
    <row r="19">
      <c r="A19" s="34">
        <v>14.0</v>
      </c>
      <c r="B19" s="29"/>
      <c r="C19" s="29"/>
      <c r="D19" s="29"/>
      <c r="E19" s="22" t="s">
        <v>34</v>
      </c>
      <c r="F19" s="22" t="s">
        <v>29</v>
      </c>
      <c r="G19" s="24">
        <v>0.0</v>
      </c>
      <c r="H19" s="24">
        <v>0.0</v>
      </c>
      <c r="I19" s="24">
        <v>0.0</v>
      </c>
      <c r="J19" s="24">
        <v>0.0</v>
      </c>
      <c r="K19" s="24">
        <v>0.0</v>
      </c>
      <c r="L19" s="24">
        <v>0.0</v>
      </c>
      <c r="M19" s="24">
        <v>0.0</v>
      </c>
      <c r="N19" s="24">
        <v>0.0</v>
      </c>
      <c r="O19" s="24">
        <v>0.0</v>
      </c>
      <c r="P19" s="24">
        <v>0.0</v>
      </c>
      <c r="Q19" s="25"/>
      <c r="R19" s="26">
        <f t="shared" si="1"/>
        <v>0</v>
      </c>
      <c r="S19" s="27">
        <f t="shared" si="2"/>
        <v>0</v>
      </c>
      <c r="T19" s="28">
        <f t="shared" si="3"/>
        <v>0</v>
      </c>
      <c r="U19" s="27">
        <f t="shared" si="4"/>
        <v>0</v>
      </c>
    </row>
    <row r="20">
      <c r="A20" s="34">
        <v>15.0</v>
      </c>
      <c r="B20" s="29"/>
      <c r="C20" s="29"/>
      <c r="D20" s="29"/>
      <c r="E20" s="22" t="s">
        <v>34</v>
      </c>
      <c r="F20" s="22" t="s">
        <v>29</v>
      </c>
      <c r="G20" s="24">
        <v>0.0</v>
      </c>
      <c r="H20" s="24">
        <v>0.0</v>
      </c>
      <c r="I20" s="24">
        <v>0.0</v>
      </c>
      <c r="J20" s="24">
        <v>0.0</v>
      </c>
      <c r="K20" s="24">
        <v>0.0</v>
      </c>
      <c r="L20" s="24">
        <v>0.0</v>
      </c>
      <c r="M20" s="24">
        <v>0.0</v>
      </c>
      <c r="N20" s="24">
        <v>0.0</v>
      </c>
      <c r="O20" s="24">
        <v>0.0</v>
      </c>
      <c r="P20" s="24">
        <v>0.0</v>
      </c>
      <c r="Q20" s="25"/>
      <c r="R20" s="26">
        <f t="shared" si="1"/>
        <v>0</v>
      </c>
      <c r="S20" s="27">
        <f t="shared" si="2"/>
        <v>0</v>
      </c>
      <c r="T20" s="28">
        <f t="shared" si="3"/>
        <v>0</v>
      </c>
      <c r="U20" s="27">
        <f t="shared" si="4"/>
        <v>0</v>
      </c>
    </row>
    <row r="21">
      <c r="A21" s="34">
        <v>16.0</v>
      </c>
      <c r="B21" s="29"/>
      <c r="C21" s="29"/>
      <c r="D21" s="29"/>
      <c r="E21" s="22" t="s">
        <v>34</v>
      </c>
      <c r="F21" s="22" t="s">
        <v>29</v>
      </c>
      <c r="G21" s="24">
        <v>0.0</v>
      </c>
      <c r="H21" s="24">
        <v>0.0</v>
      </c>
      <c r="I21" s="24">
        <v>0.0</v>
      </c>
      <c r="J21" s="24">
        <v>0.0</v>
      </c>
      <c r="K21" s="24">
        <v>0.0</v>
      </c>
      <c r="L21" s="24">
        <v>0.0</v>
      </c>
      <c r="M21" s="24">
        <v>0.0</v>
      </c>
      <c r="N21" s="24">
        <v>0.0</v>
      </c>
      <c r="O21" s="24">
        <v>0.0</v>
      </c>
      <c r="P21" s="24">
        <v>0.0</v>
      </c>
      <c r="Q21" s="25"/>
      <c r="R21" s="26">
        <f t="shared" si="1"/>
        <v>0</v>
      </c>
      <c r="S21" s="27">
        <f t="shared" si="2"/>
        <v>0</v>
      </c>
      <c r="T21" s="28">
        <f t="shared" si="3"/>
        <v>0</v>
      </c>
      <c r="U21" s="27">
        <f t="shared" si="4"/>
        <v>0</v>
      </c>
    </row>
    <row r="22">
      <c r="A22" s="1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</row>
    <row r="23">
      <c r="A23" s="1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</row>
    <row r="24">
      <c r="A24" s="1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</row>
    <row r="25">
      <c r="A25" s="1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</row>
    <row r="26">
      <c r="A26" s="1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</row>
    <row r="27">
      <c r="A27" s="1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</row>
    <row r="28">
      <c r="A28" s="1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</row>
    <row r="29">
      <c r="A29" s="1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</row>
    <row r="30">
      <c r="A30" s="1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</row>
    <row r="31">
      <c r="A31" s="1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</row>
    <row r="32">
      <c r="A32" s="1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</row>
    <row r="33">
      <c r="A33" s="1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</row>
    <row r="34">
      <c r="A34" s="1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</row>
    <row r="35">
      <c r="A35" s="1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</row>
    <row r="36">
      <c r="A36" s="1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</row>
    <row r="37">
      <c r="A37" s="1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</row>
    <row r="38">
      <c r="A38" s="1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</row>
    <row r="39">
      <c r="A39" s="1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</row>
    <row r="40">
      <c r="A40" s="1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</row>
    <row r="41">
      <c r="A41" s="1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</row>
    <row r="42">
      <c r="A42" s="1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</row>
    <row r="43">
      <c r="A43" s="1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</row>
    <row r="44">
      <c r="A44" s="1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</row>
    <row r="45">
      <c r="A45" s="1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</row>
    <row r="46">
      <c r="A46" s="1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</row>
    <row r="47">
      <c r="A47" s="1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</row>
    <row r="48">
      <c r="A48" s="1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</row>
    <row r="49">
      <c r="A49" s="1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</row>
    <row r="50">
      <c r="A50" s="1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</row>
    <row r="51">
      <c r="A51" s="1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</row>
    <row r="52">
      <c r="A52" s="1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</row>
    <row r="53">
      <c r="A53" s="1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</row>
    <row r="54">
      <c r="A54" s="1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</row>
    <row r="55">
      <c r="A55" s="1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</row>
    <row r="56">
      <c r="A56" s="1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</sheetData>
  <mergeCells count="10">
    <mergeCell ref="J4:L4"/>
    <mergeCell ref="N4:P4"/>
    <mergeCell ref="R4:U4"/>
    <mergeCell ref="H2:I2"/>
    <mergeCell ref="A4:A5"/>
    <mergeCell ref="B4:B5"/>
    <mergeCell ref="C4:C5"/>
    <mergeCell ref="D4:D5"/>
    <mergeCell ref="E4:E5"/>
    <mergeCell ref="G4:I4"/>
  </mergeCells>
  <dataValidations>
    <dataValidation type="list" allowBlank="1" showErrorMessage="1" sqref="G6:P21">
      <formula1>"1,2,3,4,5"</formula1>
    </dataValidation>
    <dataValidation type="list" allowBlank="1" showErrorMessage="1" sqref="E6:E21">
      <formula1>"Đang kiểm tra,Trưởng phòng nhân sự,Nhân viên 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22.25"/>
    <col customWidth="1" min="5" max="5" width="28.25"/>
    <col customWidth="1" min="6" max="6" width="13.75"/>
    <col customWidth="1" min="7" max="7" width="18.88"/>
    <col customWidth="1" min="8" max="8" width="18.5"/>
    <col customWidth="1" min="9" max="9" width="15.5"/>
    <col customWidth="1" min="10" max="10" width="19.5"/>
    <col customWidth="1" min="11" max="11" width="13.88"/>
    <col customWidth="1" min="12" max="13" width="14.13"/>
    <col customWidth="1" min="14" max="14" width="13.63"/>
    <col customWidth="1" min="16" max="16" width="13.38"/>
  </cols>
  <sheetData>
    <row r="1">
      <c r="A1" s="1"/>
      <c r="F1" s="31" t="s">
        <v>0</v>
      </c>
      <c r="G1" s="42"/>
      <c r="H1" s="42"/>
      <c r="I1" s="42"/>
      <c r="J1" s="42"/>
      <c r="K1" s="43"/>
    </row>
    <row r="2">
      <c r="A2" s="1"/>
      <c r="H2" s="5" t="s">
        <v>45</v>
      </c>
      <c r="L2" s="6"/>
      <c r="M2" s="6"/>
    </row>
    <row r="3">
      <c r="A3" s="1"/>
    </row>
    <row r="4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9" t="s">
        <v>8</v>
      </c>
      <c r="H4" s="10"/>
      <c r="I4" s="11"/>
      <c r="J4" s="12" t="s">
        <v>9</v>
      </c>
      <c r="K4" s="10"/>
      <c r="L4" s="11"/>
      <c r="M4" s="41"/>
      <c r="N4" s="13" t="s">
        <v>10</v>
      </c>
      <c r="O4" s="10"/>
      <c r="P4" s="11"/>
      <c r="R4" s="14" t="s">
        <v>11</v>
      </c>
      <c r="S4" s="10"/>
      <c r="T4" s="10"/>
      <c r="U4" s="11"/>
    </row>
    <row r="5" ht="112.5" customHeight="1">
      <c r="A5" s="15"/>
      <c r="B5" s="15"/>
      <c r="C5" s="15"/>
      <c r="D5" s="15"/>
      <c r="E5" s="15"/>
      <c r="F5" s="8" t="s">
        <v>12</v>
      </c>
      <c r="G5" s="16" t="s">
        <v>46</v>
      </c>
      <c r="H5" s="16" t="s">
        <v>14</v>
      </c>
      <c r="I5" s="16" t="s">
        <v>15</v>
      </c>
      <c r="J5" s="17" t="s">
        <v>16</v>
      </c>
      <c r="K5" s="18" t="s">
        <v>17</v>
      </c>
      <c r="L5" s="17" t="s">
        <v>18</v>
      </c>
      <c r="M5" s="17" t="s">
        <v>19</v>
      </c>
      <c r="N5" s="17" t="s">
        <v>20</v>
      </c>
      <c r="O5" s="17" t="s">
        <v>21</v>
      </c>
      <c r="P5" s="17" t="s">
        <v>22</v>
      </c>
      <c r="R5" s="19" t="s">
        <v>23</v>
      </c>
      <c r="S5" s="19" t="s">
        <v>24</v>
      </c>
      <c r="T5" s="19" t="s">
        <v>25</v>
      </c>
      <c r="U5" s="20" t="s">
        <v>26</v>
      </c>
    </row>
    <row r="6">
      <c r="A6" s="21">
        <v>1.0</v>
      </c>
      <c r="B6" s="22" t="s">
        <v>27</v>
      </c>
      <c r="C6" s="23"/>
      <c r="D6" s="22">
        <v>2023.0</v>
      </c>
      <c r="E6" s="22" t="s">
        <v>28</v>
      </c>
      <c r="F6" s="22" t="s">
        <v>29</v>
      </c>
      <c r="G6" s="24">
        <v>4.0</v>
      </c>
      <c r="H6" s="24">
        <v>4.0</v>
      </c>
      <c r="I6" s="24">
        <v>5.0</v>
      </c>
      <c r="J6" s="24">
        <v>5.0</v>
      </c>
      <c r="K6" s="24">
        <v>5.0</v>
      </c>
      <c r="L6" s="24">
        <v>4.0</v>
      </c>
      <c r="M6" s="24">
        <v>4.0</v>
      </c>
      <c r="N6" s="24">
        <v>4.0</v>
      </c>
      <c r="O6" s="24">
        <v>4.0</v>
      </c>
      <c r="P6" s="24">
        <v>5.0</v>
      </c>
      <c r="Q6" s="25"/>
      <c r="R6" s="26">
        <f t="shared" ref="R6:R21" si="1">SUM(G6:I6)</f>
        <v>13</v>
      </c>
      <c r="S6" s="27">
        <f t="shared" ref="S6:S21" si="2">SUM(J6:M6)</f>
        <v>18</v>
      </c>
      <c r="T6" s="28">
        <f t="shared" ref="T6:T21" si="3">SUM(N6:P6)</f>
        <v>13</v>
      </c>
      <c r="U6" s="27">
        <f t="shared" ref="U6:U21" si="4">SUM(R6:T6)</f>
        <v>44</v>
      </c>
      <c r="V6" s="25"/>
      <c r="W6" s="25"/>
    </row>
    <row r="7">
      <c r="A7" s="21">
        <v>2.0</v>
      </c>
      <c r="B7" s="22" t="s">
        <v>30</v>
      </c>
      <c r="C7" s="29"/>
      <c r="D7" s="22">
        <v>2023.0</v>
      </c>
      <c r="E7" s="22" t="s">
        <v>31</v>
      </c>
      <c r="F7" s="22" t="s">
        <v>29</v>
      </c>
      <c r="G7" s="24">
        <v>4.0</v>
      </c>
      <c r="H7" s="24">
        <v>4.0</v>
      </c>
      <c r="I7" s="24">
        <v>5.0</v>
      </c>
      <c r="J7" s="24">
        <v>5.0</v>
      </c>
      <c r="K7" s="24">
        <v>5.0</v>
      </c>
      <c r="L7" s="24">
        <v>3.0</v>
      </c>
      <c r="M7" s="24">
        <v>4.0</v>
      </c>
      <c r="N7" s="24">
        <v>4.0</v>
      </c>
      <c r="O7" s="24">
        <v>4.0</v>
      </c>
      <c r="P7" s="24">
        <v>5.0</v>
      </c>
      <c r="Q7" s="25"/>
      <c r="R7" s="26">
        <f t="shared" si="1"/>
        <v>13</v>
      </c>
      <c r="S7" s="27">
        <f t="shared" si="2"/>
        <v>17</v>
      </c>
      <c r="T7" s="28">
        <f t="shared" si="3"/>
        <v>13</v>
      </c>
      <c r="U7" s="27">
        <f t="shared" si="4"/>
        <v>43</v>
      </c>
      <c r="V7" s="25"/>
      <c r="W7" s="25"/>
    </row>
    <row r="8">
      <c r="A8" s="21">
        <v>3.0</v>
      </c>
      <c r="B8" s="22" t="s">
        <v>32</v>
      </c>
      <c r="C8" s="29"/>
      <c r="D8" s="22">
        <v>2023.0</v>
      </c>
      <c r="E8" s="22" t="s">
        <v>31</v>
      </c>
      <c r="F8" s="22" t="s">
        <v>29</v>
      </c>
      <c r="G8" s="24">
        <v>5.0</v>
      </c>
      <c r="H8" s="24">
        <v>4.0</v>
      </c>
      <c r="I8" s="24">
        <v>5.0</v>
      </c>
      <c r="J8" s="24">
        <v>5.0</v>
      </c>
      <c r="K8" s="24">
        <v>5.0</v>
      </c>
      <c r="L8" s="24">
        <v>4.0</v>
      </c>
      <c r="M8" s="24">
        <v>4.0</v>
      </c>
      <c r="N8" s="24">
        <v>4.0</v>
      </c>
      <c r="O8" s="24">
        <v>4.0</v>
      </c>
      <c r="P8" s="24">
        <v>5.0</v>
      </c>
      <c r="Q8" s="25"/>
      <c r="R8" s="26">
        <f t="shared" si="1"/>
        <v>14</v>
      </c>
      <c r="S8" s="27">
        <f t="shared" si="2"/>
        <v>18</v>
      </c>
      <c r="T8" s="28">
        <f t="shared" si="3"/>
        <v>13</v>
      </c>
      <c r="U8" s="27">
        <f t="shared" si="4"/>
        <v>45</v>
      </c>
      <c r="V8" s="25"/>
      <c r="W8" s="25"/>
    </row>
    <row r="9">
      <c r="A9" s="21">
        <v>4.0</v>
      </c>
      <c r="B9" s="22" t="s">
        <v>33</v>
      </c>
      <c r="C9" s="29"/>
      <c r="D9" s="22">
        <v>2023.0</v>
      </c>
      <c r="E9" s="22" t="s">
        <v>31</v>
      </c>
      <c r="F9" s="22" t="s">
        <v>29</v>
      </c>
      <c r="G9" s="24">
        <v>5.0</v>
      </c>
      <c r="H9" s="24">
        <v>4.0</v>
      </c>
      <c r="I9" s="24">
        <v>5.0</v>
      </c>
      <c r="J9" s="24">
        <v>5.0</v>
      </c>
      <c r="K9" s="24">
        <v>5.0</v>
      </c>
      <c r="L9" s="24">
        <v>5.0</v>
      </c>
      <c r="M9" s="24">
        <v>4.0</v>
      </c>
      <c r="N9" s="24">
        <v>4.0</v>
      </c>
      <c r="O9" s="24">
        <v>4.0</v>
      </c>
      <c r="P9" s="24">
        <v>5.0</v>
      </c>
      <c r="Q9" s="25"/>
      <c r="R9" s="26">
        <f t="shared" si="1"/>
        <v>14</v>
      </c>
      <c r="S9" s="27">
        <f t="shared" si="2"/>
        <v>19</v>
      </c>
      <c r="T9" s="28">
        <f t="shared" si="3"/>
        <v>13</v>
      </c>
      <c r="U9" s="27">
        <f t="shared" si="4"/>
        <v>46</v>
      </c>
      <c r="V9" s="25"/>
      <c r="W9" s="25"/>
    </row>
    <row r="10">
      <c r="A10" s="21">
        <v>5.0</v>
      </c>
      <c r="B10" s="29"/>
      <c r="C10" s="29"/>
      <c r="D10" s="29"/>
      <c r="E10" s="22" t="s">
        <v>34</v>
      </c>
      <c r="F10" s="22" t="s">
        <v>29</v>
      </c>
      <c r="G10" s="24">
        <v>0.0</v>
      </c>
      <c r="H10" s="24">
        <v>0.0</v>
      </c>
      <c r="I10" s="24">
        <v>0.0</v>
      </c>
      <c r="J10" s="24">
        <v>0.0</v>
      </c>
      <c r="K10" s="24">
        <v>0.0</v>
      </c>
      <c r="L10" s="24">
        <v>0.0</v>
      </c>
      <c r="M10" s="24">
        <v>0.0</v>
      </c>
      <c r="N10" s="24">
        <v>0.0</v>
      </c>
      <c r="O10" s="24">
        <v>0.0</v>
      </c>
      <c r="P10" s="24">
        <v>0.0</v>
      </c>
      <c r="Q10" s="25"/>
      <c r="R10" s="26">
        <f t="shared" si="1"/>
        <v>0</v>
      </c>
      <c r="S10" s="27">
        <f t="shared" si="2"/>
        <v>0</v>
      </c>
      <c r="T10" s="28">
        <f t="shared" si="3"/>
        <v>0</v>
      </c>
      <c r="U10" s="27">
        <f t="shared" si="4"/>
        <v>0</v>
      </c>
      <c r="V10" s="25"/>
      <c r="W10" s="25"/>
    </row>
    <row r="11">
      <c r="A11" s="21">
        <v>6.0</v>
      </c>
      <c r="B11" s="29"/>
      <c r="C11" s="29"/>
      <c r="D11" s="29"/>
      <c r="E11" s="22" t="s">
        <v>34</v>
      </c>
      <c r="F11" s="22" t="s">
        <v>29</v>
      </c>
      <c r="G11" s="24">
        <v>0.0</v>
      </c>
      <c r="H11" s="24">
        <v>0.0</v>
      </c>
      <c r="I11" s="24">
        <v>0.0</v>
      </c>
      <c r="J11" s="24">
        <v>0.0</v>
      </c>
      <c r="K11" s="24">
        <v>0.0</v>
      </c>
      <c r="L11" s="24">
        <v>0.0</v>
      </c>
      <c r="M11" s="24">
        <v>0.0</v>
      </c>
      <c r="N11" s="24">
        <v>0.0</v>
      </c>
      <c r="O11" s="24">
        <v>0.0</v>
      </c>
      <c r="P11" s="24">
        <v>0.0</v>
      </c>
      <c r="Q11" s="25"/>
      <c r="R11" s="26">
        <f t="shared" si="1"/>
        <v>0</v>
      </c>
      <c r="S11" s="27">
        <f t="shared" si="2"/>
        <v>0</v>
      </c>
      <c r="T11" s="28">
        <f t="shared" si="3"/>
        <v>0</v>
      </c>
      <c r="U11" s="27">
        <f t="shared" si="4"/>
        <v>0</v>
      </c>
      <c r="V11" s="25"/>
      <c r="W11" s="25"/>
    </row>
    <row r="12">
      <c r="A12" s="21">
        <v>7.0</v>
      </c>
      <c r="B12" s="29"/>
      <c r="C12" s="29"/>
      <c r="D12" s="29"/>
      <c r="E12" s="22" t="s">
        <v>34</v>
      </c>
      <c r="F12" s="22" t="s">
        <v>29</v>
      </c>
      <c r="G12" s="24">
        <v>0.0</v>
      </c>
      <c r="H12" s="24">
        <v>0.0</v>
      </c>
      <c r="I12" s="24">
        <v>0.0</v>
      </c>
      <c r="J12" s="24">
        <v>0.0</v>
      </c>
      <c r="K12" s="24">
        <v>0.0</v>
      </c>
      <c r="L12" s="24">
        <v>0.0</v>
      </c>
      <c r="M12" s="24">
        <v>0.0</v>
      </c>
      <c r="N12" s="24">
        <v>0.0</v>
      </c>
      <c r="O12" s="24">
        <v>0.0</v>
      </c>
      <c r="P12" s="24">
        <v>0.0</v>
      </c>
      <c r="Q12" s="25"/>
      <c r="R12" s="26">
        <f t="shared" si="1"/>
        <v>0</v>
      </c>
      <c r="S12" s="27">
        <f t="shared" si="2"/>
        <v>0</v>
      </c>
      <c r="T12" s="28">
        <f t="shared" si="3"/>
        <v>0</v>
      </c>
      <c r="U12" s="27">
        <f t="shared" si="4"/>
        <v>0</v>
      </c>
      <c r="V12" s="25"/>
      <c r="W12" s="25"/>
    </row>
    <row r="13">
      <c r="A13" s="21">
        <v>8.0</v>
      </c>
      <c r="B13" s="29"/>
      <c r="C13" s="29"/>
      <c r="D13" s="29"/>
      <c r="E13" s="22" t="s">
        <v>34</v>
      </c>
      <c r="F13" s="22" t="s">
        <v>29</v>
      </c>
      <c r="G13" s="24">
        <v>0.0</v>
      </c>
      <c r="H13" s="24">
        <v>0.0</v>
      </c>
      <c r="I13" s="24">
        <v>0.0</v>
      </c>
      <c r="J13" s="24">
        <v>0.0</v>
      </c>
      <c r="K13" s="24">
        <v>0.0</v>
      </c>
      <c r="L13" s="24">
        <v>0.0</v>
      </c>
      <c r="M13" s="24">
        <v>0.0</v>
      </c>
      <c r="N13" s="24">
        <v>0.0</v>
      </c>
      <c r="O13" s="24">
        <v>0.0</v>
      </c>
      <c r="P13" s="24">
        <v>0.0</v>
      </c>
      <c r="Q13" s="25"/>
      <c r="R13" s="26">
        <f t="shared" si="1"/>
        <v>0</v>
      </c>
      <c r="S13" s="27">
        <f t="shared" si="2"/>
        <v>0</v>
      </c>
      <c r="T13" s="28">
        <f t="shared" si="3"/>
        <v>0</v>
      </c>
      <c r="U13" s="27">
        <f t="shared" si="4"/>
        <v>0</v>
      </c>
      <c r="V13" s="25"/>
      <c r="W13" s="25"/>
    </row>
    <row r="14">
      <c r="A14" s="21">
        <v>9.0</v>
      </c>
      <c r="B14" s="29"/>
      <c r="C14" s="29"/>
      <c r="D14" s="29"/>
      <c r="E14" s="22" t="s">
        <v>34</v>
      </c>
      <c r="F14" s="22" t="s">
        <v>29</v>
      </c>
      <c r="G14" s="24">
        <v>0.0</v>
      </c>
      <c r="H14" s="24">
        <v>0.0</v>
      </c>
      <c r="I14" s="24">
        <v>0.0</v>
      </c>
      <c r="J14" s="24">
        <v>0.0</v>
      </c>
      <c r="K14" s="24">
        <v>0.0</v>
      </c>
      <c r="L14" s="24">
        <v>0.0</v>
      </c>
      <c r="M14" s="24">
        <v>0.0</v>
      </c>
      <c r="N14" s="24">
        <v>0.0</v>
      </c>
      <c r="O14" s="24">
        <v>0.0</v>
      </c>
      <c r="P14" s="24">
        <v>0.0</v>
      </c>
      <c r="Q14" s="25"/>
      <c r="R14" s="26">
        <f t="shared" si="1"/>
        <v>0</v>
      </c>
      <c r="S14" s="27">
        <f t="shared" si="2"/>
        <v>0</v>
      </c>
      <c r="T14" s="28">
        <f t="shared" si="3"/>
        <v>0</v>
      </c>
      <c r="U14" s="27">
        <f t="shared" si="4"/>
        <v>0</v>
      </c>
      <c r="V14" s="25"/>
      <c r="W14" s="25"/>
    </row>
    <row r="15">
      <c r="A15" s="21">
        <v>10.0</v>
      </c>
      <c r="B15" s="29"/>
      <c r="C15" s="29"/>
      <c r="D15" s="29"/>
      <c r="E15" s="22" t="s">
        <v>34</v>
      </c>
      <c r="F15" s="22" t="s">
        <v>29</v>
      </c>
      <c r="G15" s="24">
        <v>0.0</v>
      </c>
      <c r="H15" s="24">
        <v>0.0</v>
      </c>
      <c r="I15" s="24">
        <v>0.0</v>
      </c>
      <c r="J15" s="24">
        <v>0.0</v>
      </c>
      <c r="K15" s="24">
        <v>0.0</v>
      </c>
      <c r="L15" s="24">
        <v>0.0</v>
      </c>
      <c r="M15" s="24">
        <v>0.0</v>
      </c>
      <c r="N15" s="24">
        <v>0.0</v>
      </c>
      <c r="O15" s="24">
        <v>0.0</v>
      </c>
      <c r="P15" s="24">
        <v>0.0</v>
      </c>
      <c r="Q15" s="25"/>
      <c r="R15" s="26">
        <f t="shared" si="1"/>
        <v>0</v>
      </c>
      <c r="S15" s="27">
        <f t="shared" si="2"/>
        <v>0</v>
      </c>
      <c r="T15" s="28">
        <f t="shared" si="3"/>
        <v>0</v>
      </c>
      <c r="U15" s="27">
        <f t="shared" si="4"/>
        <v>0</v>
      </c>
      <c r="V15" s="25"/>
      <c r="W15" s="25"/>
    </row>
    <row r="16">
      <c r="A16" s="21">
        <v>11.0</v>
      </c>
      <c r="B16" s="29"/>
      <c r="C16" s="29"/>
      <c r="D16" s="29"/>
      <c r="E16" s="22" t="s">
        <v>34</v>
      </c>
      <c r="F16" s="22" t="s">
        <v>29</v>
      </c>
      <c r="G16" s="24">
        <v>0.0</v>
      </c>
      <c r="H16" s="24">
        <v>0.0</v>
      </c>
      <c r="I16" s="24">
        <v>0.0</v>
      </c>
      <c r="J16" s="24">
        <v>0.0</v>
      </c>
      <c r="K16" s="24">
        <v>0.0</v>
      </c>
      <c r="L16" s="24">
        <v>0.0</v>
      </c>
      <c r="M16" s="24">
        <v>0.0</v>
      </c>
      <c r="N16" s="24">
        <v>0.0</v>
      </c>
      <c r="O16" s="24">
        <v>0.0</v>
      </c>
      <c r="P16" s="24">
        <v>0.0</v>
      </c>
      <c r="Q16" s="25"/>
      <c r="R16" s="26">
        <f t="shared" si="1"/>
        <v>0</v>
      </c>
      <c r="S16" s="27">
        <f t="shared" si="2"/>
        <v>0</v>
      </c>
      <c r="T16" s="28">
        <f t="shared" si="3"/>
        <v>0</v>
      </c>
      <c r="U16" s="27">
        <f t="shared" si="4"/>
        <v>0</v>
      </c>
      <c r="V16" s="25"/>
      <c r="W16" s="25"/>
    </row>
    <row r="17">
      <c r="A17" s="21">
        <v>12.0</v>
      </c>
      <c r="B17" s="29"/>
      <c r="C17" s="29"/>
      <c r="D17" s="29"/>
      <c r="E17" s="22" t="s">
        <v>34</v>
      </c>
      <c r="F17" s="22" t="s">
        <v>29</v>
      </c>
      <c r="G17" s="24">
        <v>0.0</v>
      </c>
      <c r="H17" s="24">
        <v>0.0</v>
      </c>
      <c r="I17" s="24">
        <v>0.0</v>
      </c>
      <c r="J17" s="24">
        <v>0.0</v>
      </c>
      <c r="K17" s="24">
        <v>0.0</v>
      </c>
      <c r="L17" s="24">
        <v>0.0</v>
      </c>
      <c r="M17" s="24">
        <v>0.0</v>
      </c>
      <c r="N17" s="24">
        <v>0.0</v>
      </c>
      <c r="O17" s="24">
        <v>0.0</v>
      </c>
      <c r="P17" s="24">
        <v>0.0</v>
      </c>
      <c r="Q17" s="25"/>
      <c r="R17" s="26">
        <f t="shared" si="1"/>
        <v>0</v>
      </c>
      <c r="S17" s="27">
        <f t="shared" si="2"/>
        <v>0</v>
      </c>
      <c r="T17" s="28">
        <f t="shared" si="3"/>
        <v>0</v>
      </c>
      <c r="U17" s="27">
        <f t="shared" si="4"/>
        <v>0</v>
      </c>
      <c r="V17" s="25"/>
      <c r="W17" s="25"/>
    </row>
    <row r="18">
      <c r="A18" s="21">
        <v>13.0</v>
      </c>
      <c r="B18" s="29"/>
      <c r="C18" s="29"/>
      <c r="D18" s="29"/>
      <c r="E18" s="22" t="s">
        <v>34</v>
      </c>
      <c r="F18" s="22" t="s">
        <v>29</v>
      </c>
      <c r="G18" s="24">
        <v>0.0</v>
      </c>
      <c r="H18" s="24">
        <v>0.0</v>
      </c>
      <c r="I18" s="24">
        <v>0.0</v>
      </c>
      <c r="J18" s="24">
        <v>0.0</v>
      </c>
      <c r="K18" s="24">
        <v>0.0</v>
      </c>
      <c r="L18" s="24">
        <v>0.0</v>
      </c>
      <c r="M18" s="24">
        <v>0.0</v>
      </c>
      <c r="N18" s="24">
        <v>0.0</v>
      </c>
      <c r="O18" s="24">
        <v>0.0</v>
      </c>
      <c r="P18" s="24">
        <v>0.0</v>
      </c>
      <c r="Q18" s="25"/>
      <c r="R18" s="26">
        <f t="shared" si="1"/>
        <v>0</v>
      </c>
      <c r="S18" s="27">
        <f t="shared" si="2"/>
        <v>0</v>
      </c>
      <c r="T18" s="28">
        <f t="shared" si="3"/>
        <v>0</v>
      </c>
      <c r="U18" s="27">
        <f t="shared" si="4"/>
        <v>0</v>
      </c>
      <c r="V18" s="25"/>
      <c r="W18" s="25"/>
    </row>
    <row r="19">
      <c r="A19" s="21">
        <v>14.0</v>
      </c>
      <c r="B19" s="29"/>
      <c r="C19" s="29"/>
      <c r="D19" s="29"/>
      <c r="E19" s="22" t="s">
        <v>34</v>
      </c>
      <c r="F19" s="22" t="s">
        <v>29</v>
      </c>
      <c r="G19" s="24">
        <v>0.0</v>
      </c>
      <c r="H19" s="24">
        <v>0.0</v>
      </c>
      <c r="I19" s="24">
        <v>0.0</v>
      </c>
      <c r="J19" s="24">
        <v>0.0</v>
      </c>
      <c r="K19" s="24">
        <v>0.0</v>
      </c>
      <c r="L19" s="24">
        <v>0.0</v>
      </c>
      <c r="M19" s="24">
        <v>0.0</v>
      </c>
      <c r="N19" s="24">
        <v>0.0</v>
      </c>
      <c r="O19" s="24">
        <v>0.0</v>
      </c>
      <c r="P19" s="24">
        <v>0.0</v>
      </c>
      <c r="Q19" s="25"/>
      <c r="R19" s="26">
        <f t="shared" si="1"/>
        <v>0</v>
      </c>
      <c r="S19" s="27">
        <f t="shared" si="2"/>
        <v>0</v>
      </c>
      <c r="T19" s="28">
        <f t="shared" si="3"/>
        <v>0</v>
      </c>
      <c r="U19" s="27">
        <f t="shared" si="4"/>
        <v>0</v>
      </c>
      <c r="V19" s="25"/>
      <c r="W19" s="25"/>
    </row>
    <row r="20">
      <c r="A20" s="21">
        <v>15.0</v>
      </c>
      <c r="B20" s="29"/>
      <c r="C20" s="29"/>
      <c r="D20" s="29"/>
      <c r="E20" s="22" t="s">
        <v>34</v>
      </c>
      <c r="F20" s="22" t="s">
        <v>29</v>
      </c>
      <c r="G20" s="24">
        <v>0.0</v>
      </c>
      <c r="H20" s="24">
        <v>0.0</v>
      </c>
      <c r="I20" s="24">
        <v>0.0</v>
      </c>
      <c r="J20" s="24">
        <v>0.0</v>
      </c>
      <c r="K20" s="24">
        <v>0.0</v>
      </c>
      <c r="L20" s="24">
        <v>0.0</v>
      </c>
      <c r="M20" s="24">
        <v>0.0</v>
      </c>
      <c r="N20" s="24">
        <v>0.0</v>
      </c>
      <c r="O20" s="24">
        <v>0.0</v>
      </c>
      <c r="P20" s="24">
        <v>0.0</v>
      </c>
      <c r="Q20" s="25"/>
      <c r="R20" s="26">
        <f t="shared" si="1"/>
        <v>0</v>
      </c>
      <c r="S20" s="27">
        <f t="shared" si="2"/>
        <v>0</v>
      </c>
      <c r="T20" s="28">
        <f t="shared" si="3"/>
        <v>0</v>
      </c>
      <c r="U20" s="27">
        <f t="shared" si="4"/>
        <v>0</v>
      </c>
      <c r="V20" s="25"/>
      <c r="W20" s="25"/>
    </row>
    <row r="21">
      <c r="A21" s="21">
        <v>16.0</v>
      </c>
      <c r="B21" s="29"/>
      <c r="C21" s="29"/>
      <c r="D21" s="29"/>
      <c r="E21" s="22" t="s">
        <v>34</v>
      </c>
      <c r="F21" s="22" t="s">
        <v>29</v>
      </c>
      <c r="G21" s="24">
        <v>0.0</v>
      </c>
      <c r="H21" s="24">
        <v>0.0</v>
      </c>
      <c r="I21" s="24">
        <v>0.0</v>
      </c>
      <c r="J21" s="24">
        <v>0.0</v>
      </c>
      <c r="K21" s="24">
        <v>0.0</v>
      </c>
      <c r="L21" s="24">
        <v>0.0</v>
      </c>
      <c r="M21" s="24">
        <v>0.0</v>
      </c>
      <c r="N21" s="24">
        <v>0.0</v>
      </c>
      <c r="O21" s="24">
        <v>0.0</v>
      </c>
      <c r="P21" s="24">
        <v>0.0</v>
      </c>
      <c r="Q21" s="25"/>
      <c r="R21" s="26">
        <f t="shared" si="1"/>
        <v>0</v>
      </c>
      <c r="S21" s="27">
        <f t="shared" si="2"/>
        <v>0</v>
      </c>
      <c r="T21" s="28">
        <f t="shared" si="3"/>
        <v>0</v>
      </c>
      <c r="U21" s="27">
        <f t="shared" si="4"/>
        <v>0</v>
      </c>
      <c r="V21" s="25"/>
      <c r="W21" s="25"/>
    </row>
    <row r="22">
      <c r="A22" s="30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</sheetData>
  <mergeCells count="10">
    <mergeCell ref="J4:L4"/>
    <mergeCell ref="N4:P4"/>
    <mergeCell ref="R4:U4"/>
    <mergeCell ref="H2:I2"/>
    <mergeCell ref="A4:A5"/>
    <mergeCell ref="B4:B5"/>
    <mergeCell ref="C4:C5"/>
    <mergeCell ref="D4:D5"/>
    <mergeCell ref="E4:E5"/>
    <mergeCell ref="G4:I4"/>
  </mergeCells>
  <dataValidations>
    <dataValidation type="list" allowBlank="1" showErrorMessage="1" sqref="G6:P21">
      <formula1>"1,2,3,4,5"</formula1>
    </dataValidation>
    <dataValidation type="list" allowBlank="1" showErrorMessage="1" sqref="E6:E21">
      <formula1>"Đang kiểm tra,Trưởng phòng nhân sự,Nhân viên 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27.0"/>
    <col customWidth="1" min="3" max="3" width="29.38"/>
    <col customWidth="1" min="4" max="5" width="17.0"/>
    <col customWidth="1" min="6" max="6" width="17.63"/>
    <col customWidth="1" min="7" max="7" width="39.38"/>
    <col customWidth="1" min="8" max="8" width="9.13"/>
    <col customWidth="1" min="12" max="12" width="13.38"/>
  </cols>
  <sheetData>
    <row r="1">
      <c r="A1" s="44" t="s">
        <v>47</v>
      </c>
      <c r="B1" s="10"/>
      <c r="C1" s="10"/>
      <c r="D1" s="10"/>
      <c r="E1" s="10"/>
      <c r="F1" s="10"/>
      <c r="G1" s="11"/>
      <c r="H1" s="45"/>
      <c r="I1" s="45"/>
      <c r="J1" s="45"/>
      <c r="K1" s="45"/>
      <c r="L1" s="46"/>
    </row>
    <row r="2">
      <c r="A2" s="47"/>
      <c r="B2" s="48"/>
      <c r="C2" s="48"/>
      <c r="D2" s="48"/>
      <c r="E2" s="48"/>
      <c r="F2" s="48"/>
      <c r="G2" s="49"/>
      <c r="H2" s="50"/>
      <c r="I2" s="50"/>
      <c r="J2" s="50"/>
      <c r="K2" s="50"/>
      <c r="L2" s="50"/>
    </row>
    <row r="3">
      <c r="A3" s="51" t="s">
        <v>2</v>
      </c>
      <c r="B3" s="52" t="s">
        <v>3</v>
      </c>
      <c r="C3" s="53" t="s">
        <v>6</v>
      </c>
      <c r="D3" s="53" t="s">
        <v>48</v>
      </c>
      <c r="E3" s="54" t="s">
        <v>49</v>
      </c>
      <c r="F3" s="54" t="s">
        <v>50</v>
      </c>
      <c r="G3" s="54" t="s">
        <v>51</v>
      </c>
      <c r="H3" s="50"/>
      <c r="I3" s="50"/>
      <c r="J3" s="55"/>
      <c r="K3" s="55"/>
      <c r="L3" s="55"/>
      <c r="M3" s="55"/>
      <c r="N3" s="55"/>
      <c r="O3" s="55"/>
    </row>
    <row r="4">
      <c r="A4" s="56">
        <v>1.0</v>
      </c>
      <c r="B4" s="22" t="s">
        <v>27</v>
      </c>
      <c r="C4" s="57" t="s">
        <v>28</v>
      </c>
      <c r="D4" s="58">
        <f>DATEDIF('MENTOR ĐÁNH GIÁ'!D6, TODAY() , "d")
</f>
        <v>43956</v>
      </c>
      <c r="E4" s="58">
        <f>('MENTOR ĐÁNH GIÁ'!U6+'LEADER ĐÁNH GIÁ'!U6+'ĐỒNG NGHIỆP ĐÁNH GIÁ'!U6+'BẢN THÂN ĐÁNH GIÁ'!U6+'DOANH NGHIỆP ĐÁNH GIÁ'!U6)</f>
        <v>220</v>
      </c>
      <c r="F4" s="59">
        <f t="shared" ref="F4:F21" si="1">(E4/250)*100</f>
        <v>88</v>
      </c>
      <c r="G4" s="60" t="str">
        <f t="shared" ref="G4:G7" si="2">IF(F4 &gt;= 90,"Xuất xắc",IF(F4 &gt;= 70,"Khá",IF(F4 &gt;= 50,"Kém",IF(F4 &lt; 50,"Rớt"))))
</f>
        <v>Khá</v>
      </c>
      <c r="H4" s="50"/>
      <c r="I4" s="50"/>
      <c r="J4" s="55"/>
      <c r="K4" s="55"/>
      <c r="L4" s="55"/>
      <c r="M4" s="55"/>
      <c r="N4" s="55"/>
      <c r="O4" s="55"/>
    </row>
    <row r="5">
      <c r="A5" s="56">
        <v>2.0</v>
      </c>
      <c r="B5" s="22" t="s">
        <v>30</v>
      </c>
      <c r="C5" s="57" t="s">
        <v>31</v>
      </c>
      <c r="D5" s="58">
        <f>DATEDIF('MENTOR ĐÁNH GIÁ'!D7, TODAY() , "d")
</f>
        <v>43956</v>
      </c>
      <c r="E5" s="58">
        <f>('MENTOR ĐÁNH GIÁ'!U7+'LEADER ĐÁNH GIÁ'!U7+'ĐỒNG NGHIỆP ĐÁNH GIÁ'!U7+'BẢN THÂN ĐÁNH GIÁ'!U7+'DOANH NGHIỆP ĐÁNH GIÁ'!U7)</f>
        <v>215</v>
      </c>
      <c r="F5" s="59">
        <f t="shared" si="1"/>
        <v>86</v>
      </c>
      <c r="G5" s="60" t="str">
        <f t="shared" si="2"/>
        <v>Khá</v>
      </c>
      <c r="H5" s="50"/>
      <c r="I5" s="50"/>
      <c r="J5" s="55"/>
      <c r="K5" s="55"/>
      <c r="L5" s="55"/>
      <c r="M5" s="55"/>
      <c r="N5" s="55"/>
      <c r="O5" s="55"/>
    </row>
    <row r="6">
      <c r="A6" s="56">
        <v>3.0</v>
      </c>
      <c r="B6" s="22" t="s">
        <v>32</v>
      </c>
      <c r="C6" s="57" t="s">
        <v>31</v>
      </c>
      <c r="D6" s="58">
        <f>DATEDIF('MENTOR ĐÁNH GIÁ'!D8, TODAY() , "d")
</f>
        <v>43956</v>
      </c>
      <c r="E6" s="58">
        <f>('MENTOR ĐÁNH GIÁ'!U8+'LEADER ĐÁNH GIÁ'!U8+'ĐỒNG NGHIỆP ĐÁNH GIÁ'!U8+'BẢN THÂN ĐÁNH GIÁ'!U8+'DOANH NGHIỆP ĐÁNH GIÁ'!U8)</f>
        <v>225</v>
      </c>
      <c r="F6" s="59">
        <f t="shared" si="1"/>
        <v>90</v>
      </c>
      <c r="G6" s="60" t="str">
        <f t="shared" si="2"/>
        <v>Xuất xắc</v>
      </c>
      <c r="H6" s="50"/>
      <c r="I6" s="50"/>
      <c r="J6" s="55"/>
      <c r="K6" s="55"/>
      <c r="L6" s="55"/>
      <c r="M6" s="55"/>
      <c r="N6" s="55"/>
      <c r="O6" s="55"/>
    </row>
    <row r="7">
      <c r="A7" s="56">
        <v>4.0</v>
      </c>
      <c r="B7" s="22" t="s">
        <v>33</v>
      </c>
      <c r="C7" s="57" t="s">
        <v>31</v>
      </c>
      <c r="D7" s="58">
        <f>DATEDIF('MENTOR ĐÁNH GIÁ'!D9, TODAY() , "d")
</f>
        <v>43956</v>
      </c>
      <c r="E7" s="58">
        <f>('MENTOR ĐÁNH GIÁ'!U9+'LEADER ĐÁNH GIÁ'!U9+'ĐỒNG NGHIỆP ĐÁNH GIÁ'!U9+'BẢN THÂN ĐÁNH GIÁ'!U9+'DOANH NGHIỆP ĐÁNH GIÁ'!U9)</f>
        <v>230</v>
      </c>
      <c r="F7" s="59">
        <f t="shared" si="1"/>
        <v>92</v>
      </c>
      <c r="G7" s="60" t="str">
        <f t="shared" si="2"/>
        <v>Xuất xắc</v>
      </c>
      <c r="H7" s="50"/>
      <c r="I7" s="50"/>
      <c r="J7" s="55"/>
      <c r="K7" s="55"/>
      <c r="L7" s="55"/>
      <c r="M7" s="55"/>
      <c r="N7" s="55"/>
      <c r="O7" s="55"/>
    </row>
    <row r="8">
      <c r="A8" s="56">
        <v>5.0</v>
      </c>
      <c r="B8" s="61"/>
      <c r="C8" s="57" t="s">
        <v>34</v>
      </c>
      <c r="D8" s="58"/>
      <c r="E8" s="58">
        <f>('MENTOR ĐÁNH GIÁ'!U10+'LEADER ĐÁNH GIÁ'!U10+'ĐỒNG NGHIỆP ĐÁNH GIÁ'!U10+'BẢN THÂN ĐÁNH GIÁ'!U10+'DOANH NGHIỆP ĐÁNH GIÁ'!U10)</f>
        <v>0</v>
      </c>
      <c r="F8" s="59">
        <f t="shared" si="1"/>
        <v>0</v>
      </c>
      <c r="G8" s="62"/>
      <c r="H8" s="50"/>
      <c r="I8" s="50"/>
      <c r="J8" s="55"/>
      <c r="K8" s="55"/>
      <c r="L8" s="55"/>
      <c r="M8" s="55"/>
      <c r="N8" s="55"/>
      <c r="O8" s="55"/>
    </row>
    <row r="9">
      <c r="A9" s="56">
        <v>6.0</v>
      </c>
      <c r="B9" s="61"/>
      <c r="C9" s="57" t="s">
        <v>34</v>
      </c>
      <c r="D9" s="58"/>
      <c r="E9" s="58">
        <f>('MENTOR ĐÁNH GIÁ'!U11+'LEADER ĐÁNH GIÁ'!U11+'ĐỒNG NGHIỆP ĐÁNH GIÁ'!U11+'BẢN THÂN ĐÁNH GIÁ'!U11+'DOANH NGHIỆP ĐÁNH GIÁ'!U11)</f>
        <v>0</v>
      </c>
      <c r="F9" s="59">
        <f t="shared" si="1"/>
        <v>0</v>
      </c>
      <c r="G9" s="62"/>
      <c r="H9" s="50"/>
      <c r="I9" s="50"/>
      <c r="J9" s="55"/>
      <c r="K9" s="55"/>
      <c r="L9" s="55"/>
      <c r="M9" s="55"/>
      <c r="N9" s="55"/>
      <c r="O9" s="55"/>
    </row>
    <row r="10">
      <c r="A10" s="56">
        <v>7.0</v>
      </c>
      <c r="B10" s="61"/>
      <c r="C10" s="57" t="s">
        <v>34</v>
      </c>
      <c r="D10" s="58"/>
      <c r="E10" s="58">
        <f>('MENTOR ĐÁNH GIÁ'!U12+'LEADER ĐÁNH GIÁ'!U12+'ĐỒNG NGHIỆP ĐÁNH GIÁ'!U12+'BẢN THÂN ĐÁNH GIÁ'!U12+'DOANH NGHIỆP ĐÁNH GIÁ'!U12)</f>
        <v>0</v>
      </c>
      <c r="F10" s="59">
        <f t="shared" si="1"/>
        <v>0</v>
      </c>
      <c r="G10" s="62"/>
      <c r="H10" s="50"/>
      <c r="I10" s="50"/>
      <c r="J10" s="55"/>
      <c r="K10" s="55"/>
      <c r="L10" s="55"/>
      <c r="M10" s="55"/>
      <c r="N10" s="55"/>
      <c r="O10" s="55"/>
    </row>
    <row r="11">
      <c r="A11" s="56">
        <v>8.0</v>
      </c>
      <c r="B11" s="61"/>
      <c r="C11" s="57" t="s">
        <v>34</v>
      </c>
      <c r="D11" s="58"/>
      <c r="E11" s="58">
        <f>('MENTOR ĐÁNH GIÁ'!U13+'LEADER ĐÁNH GIÁ'!U13+'ĐỒNG NGHIỆP ĐÁNH GIÁ'!U13+'BẢN THÂN ĐÁNH GIÁ'!U13+'DOANH NGHIỆP ĐÁNH GIÁ'!U13)</f>
        <v>0</v>
      </c>
      <c r="F11" s="59">
        <f t="shared" si="1"/>
        <v>0</v>
      </c>
      <c r="G11" s="62"/>
      <c r="H11" s="50"/>
      <c r="I11" s="50"/>
      <c r="J11" s="55"/>
      <c r="K11" s="55"/>
      <c r="L11" s="55"/>
      <c r="M11" s="55"/>
      <c r="N11" s="55"/>
      <c r="O11" s="55"/>
    </row>
    <row r="12">
      <c r="A12" s="56">
        <v>9.0</v>
      </c>
      <c r="B12" s="61"/>
      <c r="C12" s="57" t="s">
        <v>34</v>
      </c>
      <c r="D12" s="58"/>
      <c r="E12" s="58">
        <f>('MENTOR ĐÁNH GIÁ'!U14+'LEADER ĐÁNH GIÁ'!U14+'ĐỒNG NGHIỆP ĐÁNH GIÁ'!U14+'BẢN THÂN ĐÁNH GIÁ'!U14+'DOANH NGHIỆP ĐÁNH GIÁ'!U14)</f>
        <v>0</v>
      </c>
      <c r="F12" s="59">
        <f t="shared" si="1"/>
        <v>0</v>
      </c>
      <c r="G12" s="62"/>
      <c r="H12" s="50"/>
      <c r="I12" s="50"/>
      <c r="J12" s="55"/>
      <c r="K12" s="55"/>
      <c r="L12" s="55"/>
      <c r="M12" s="55"/>
      <c r="N12" s="55"/>
      <c r="O12" s="55"/>
    </row>
    <row r="13">
      <c r="A13" s="56">
        <v>10.0</v>
      </c>
      <c r="B13" s="61"/>
      <c r="C13" s="57" t="s">
        <v>34</v>
      </c>
      <c r="D13" s="58"/>
      <c r="E13" s="58">
        <f>('MENTOR ĐÁNH GIÁ'!U15+'LEADER ĐÁNH GIÁ'!U15+'ĐỒNG NGHIỆP ĐÁNH GIÁ'!U15+'BẢN THÂN ĐÁNH GIÁ'!U15+'DOANH NGHIỆP ĐÁNH GIÁ'!U15)</f>
        <v>0</v>
      </c>
      <c r="F13" s="59">
        <f t="shared" si="1"/>
        <v>0</v>
      </c>
      <c r="G13" s="62"/>
      <c r="H13" s="50"/>
      <c r="I13" s="50"/>
      <c r="J13" s="55"/>
      <c r="K13" s="55"/>
      <c r="L13" s="55"/>
      <c r="M13" s="55"/>
      <c r="N13" s="55"/>
      <c r="O13" s="55"/>
    </row>
    <row r="14">
      <c r="A14" s="56">
        <v>11.0</v>
      </c>
      <c r="B14" s="61"/>
      <c r="C14" s="57" t="s">
        <v>34</v>
      </c>
      <c r="D14" s="58"/>
      <c r="E14" s="58">
        <f>('MENTOR ĐÁNH GIÁ'!U16+'LEADER ĐÁNH GIÁ'!U16+'ĐỒNG NGHIỆP ĐÁNH GIÁ'!U16+'BẢN THÂN ĐÁNH GIÁ'!U16+'DOANH NGHIỆP ĐÁNH GIÁ'!U16)</f>
        <v>0</v>
      </c>
      <c r="F14" s="59">
        <f t="shared" si="1"/>
        <v>0</v>
      </c>
      <c r="G14" s="62"/>
      <c r="H14" s="50"/>
      <c r="I14" s="50"/>
      <c r="J14" s="55"/>
      <c r="K14" s="55"/>
      <c r="L14" s="55"/>
      <c r="M14" s="55"/>
      <c r="N14" s="55"/>
      <c r="O14" s="55"/>
    </row>
    <row r="15">
      <c r="A15" s="56">
        <v>12.0</v>
      </c>
      <c r="B15" s="61"/>
      <c r="C15" s="57" t="s">
        <v>34</v>
      </c>
      <c r="D15" s="58"/>
      <c r="E15" s="58">
        <f>('MENTOR ĐÁNH GIÁ'!U17+'LEADER ĐÁNH GIÁ'!U17+'ĐỒNG NGHIỆP ĐÁNH GIÁ'!U17+'BẢN THÂN ĐÁNH GIÁ'!U17+'DOANH NGHIỆP ĐÁNH GIÁ'!U17)</f>
        <v>0</v>
      </c>
      <c r="F15" s="59">
        <f t="shared" si="1"/>
        <v>0</v>
      </c>
      <c r="G15" s="62"/>
      <c r="H15" s="50"/>
      <c r="I15" s="50"/>
      <c r="J15" s="55"/>
      <c r="K15" s="55"/>
      <c r="L15" s="55"/>
      <c r="M15" s="55"/>
      <c r="N15" s="55"/>
      <c r="O15" s="55"/>
    </row>
    <row r="16">
      <c r="A16" s="56">
        <v>13.0</v>
      </c>
      <c r="B16" s="61"/>
      <c r="C16" s="57" t="s">
        <v>34</v>
      </c>
      <c r="D16" s="58"/>
      <c r="E16" s="58">
        <f>('MENTOR ĐÁNH GIÁ'!U18+'LEADER ĐÁNH GIÁ'!U18+'ĐỒNG NGHIỆP ĐÁNH GIÁ'!U18+'BẢN THÂN ĐÁNH GIÁ'!U18+'DOANH NGHIỆP ĐÁNH GIÁ'!U18)</f>
        <v>0</v>
      </c>
      <c r="F16" s="59">
        <f t="shared" si="1"/>
        <v>0</v>
      </c>
      <c r="G16" s="62"/>
      <c r="H16" s="50"/>
      <c r="I16" s="50"/>
      <c r="J16" s="55"/>
      <c r="K16" s="55"/>
      <c r="L16" s="55"/>
      <c r="M16" s="55"/>
      <c r="N16" s="55"/>
      <c r="O16" s="55"/>
    </row>
    <row r="17">
      <c r="A17" s="56">
        <v>14.0</v>
      </c>
      <c r="B17" s="61"/>
      <c r="C17" s="57" t="s">
        <v>34</v>
      </c>
      <c r="D17" s="58"/>
      <c r="E17" s="58">
        <f>('MENTOR ĐÁNH GIÁ'!U19+'LEADER ĐÁNH GIÁ'!U19+'ĐỒNG NGHIỆP ĐÁNH GIÁ'!U19+'BẢN THÂN ĐÁNH GIÁ'!U19+'DOANH NGHIỆP ĐÁNH GIÁ'!U19)</f>
        <v>0</v>
      </c>
      <c r="F17" s="59">
        <f t="shared" si="1"/>
        <v>0</v>
      </c>
      <c r="G17" s="62"/>
      <c r="H17" s="50"/>
      <c r="I17" s="50"/>
      <c r="J17" s="55"/>
      <c r="K17" s="55"/>
      <c r="L17" s="55"/>
      <c r="M17" s="55"/>
      <c r="N17" s="55"/>
      <c r="O17" s="55"/>
    </row>
    <row r="18">
      <c r="A18" s="56">
        <v>15.0</v>
      </c>
      <c r="B18" s="61"/>
      <c r="C18" s="57" t="s">
        <v>34</v>
      </c>
      <c r="D18" s="58"/>
      <c r="E18" s="58">
        <f>('MENTOR ĐÁNH GIÁ'!U20+'LEADER ĐÁNH GIÁ'!U20+'ĐỒNG NGHIỆP ĐÁNH GIÁ'!U20+'BẢN THÂN ĐÁNH GIÁ'!U20+'DOANH NGHIỆP ĐÁNH GIÁ'!U20)</f>
        <v>0</v>
      </c>
      <c r="F18" s="59">
        <f t="shared" si="1"/>
        <v>0</v>
      </c>
      <c r="G18" s="62"/>
      <c r="H18" s="50"/>
      <c r="I18" s="50"/>
      <c r="J18" s="55"/>
      <c r="K18" s="55"/>
      <c r="L18" s="55"/>
      <c r="M18" s="55"/>
      <c r="N18" s="55"/>
      <c r="O18" s="55"/>
    </row>
    <row r="19">
      <c r="A19" s="56">
        <v>16.0</v>
      </c>
      <c r="B19" s="61"/>
      <c r="C19" s="57" t="s">
        <v>34</v>
      </c>
      <c r="D19" s="58"/>
      <c r="E19" s="58">
        <f>('MENTOR ĐÁNH GIÁ'!U21+'LEADER ĐÁNH GIÁ'!U21+'ĐỒNG NGHIỆP ĐÁNH GIÁ'!U21+'BẢN THÂN ĐÁNH GIÁ'!U21+'DOANH NGHIỆP ĐÁNH GIÁ'!U21)</f>
        <v>0</v>
      </c>
      <c r="F19" s="59">
        <f t="shared" si="1"/>
        <v>0</v>
      </c>
      <c r="G19" s="62"/>
      <c r="H19" s="50"/>
      <c r="I19" s="50"/>
      <c r="J19" s="55"/>
      <c r="K19" s="55"/>
      <c r="L19" s="55"/>
      <c r="M19" s="55"/>
      <c r="N19" s="55"/>
      <c r="O19" s="55"/>
    </row>
    <row r="20">
      <c r="A20" s="56">
        <v>17.0</v>
      </c>
      <c r="B20" s="61"/>
      <c r="C20" s="57" t="s">
        <v>34</v>
      </c>
      <c r="D20" s="58"/>
      <c r="E20" s="58">
        <f>('MENTOR ĐÁNH GIÁ'!U22+'LEADER ĐÁNH GIÁ'!U22+'ĐỒNG NGHIỆP ĐÁNH GIÁ'!U22+'BẢN THÂN ĐÁNH GIÁ'!U22+'DOANH NGHIỆP ĐÁNH GIÁ'!U22)</f>
        <v>0</v>
      </c>
      <c r="F20" s="59">
        <f t="shared" si="1"/>
        <v>0</v>
      </c>
      <c r="G20" s="62"/>
      <c r="H20" s="50"/>
      <c r="I20" s="50"/>
      <c r="J20" s="55"/>
      <c r="K20" s="55"/>
      <c r="L20" s="55"/>
      <c r="M20" s="55"/>
      <c r="N20" s="55"/>
      <c r="O20" s="55"/>
    </row>
    <row r="21">
      <c r="A21" s="56">
        <v>18.0</v>
      </c>
      <c r="B21" s="61"/>
      <c r="C21" s="57" t="s">
        <v>34</v>
      </c>
      <c r="D21" s="58"/>
      <c r="E21" s="58">
        <f>('MENTOR ĐÁNH GIÁ'!U23+'LEADER ĐÁNH GIÁ'!U23+'ĐỒNG NGHIỆP ĐÁNH GIÁ'!U23+'BẢN THÂN ĐÁNH GIÁ'!U23+'DOANH NGHIỆP ĐÁNH GIÁ'!U23)</f>
        <v>0</v>
      </c>
      <c r="F21" s="59">
        <f t="shared" si="1"/>
        <v>0</v>
      </c>
      <c r="G21" s="62"/>
      <c r="H21" s="50"/>
      <c r="I21" s="50"/>
      <c r="J21" s="55"/>
      <c r="K21" s="55"/>
      <c r="L21" s="55"/>
      <c r="M21" s="55"/>
      <c r="N21" s="55"/>
      <c r="O21" s="55"/>
    </row>
    <row r="38">
      <c r="A38" s="63"/>
      <c r="B38" s="63"/>
      <c r="C38" s="63"/>
      <c r="D38" s="63"/>
      <c r="E38" s="63"/>
      <c r="F38" s="63"/>
      <c r="G38" s="63"/>
      <c r="H38" s="64"/>
    </row>
    <row r="39">
      <c r="A39" s="65"/>
      <c r="B39" s="65"/>
      <c r="C39" s="65"/>
      <c r="D39" s="65"/>
      <c r="E39" s="65"/>
      <c r="F39" s="65"/>
      <c r="G39" s="65"/>
      <c r="H39" s="63"/>
      <c r="I39" s="63"/>
      <c r="J39" s="63"/>
      <c r="K39" s="63"/>
      <c r="L39" s="63"/>
    </row>
    <row r="40">
      <c r="A40" s="66"/>
      <c r="B40" s="66"/>
      <c r="C40" s="63"/>
      <c r="D40" s="63"/>
      <c r="E40" s="63"/>
      <c r="F40" s="63"/>
      <c r="G40" s="63"/>
      <c r="H40" s="63"/>
      <c r="I40" s="63"/>
      <c r="J40" s="63"/>
      <c r="K40" s="63"/>
      <c r="L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</row>
    <row r="48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</row>
    <row r="49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</row>
    <row r="50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</row>
    <row r="5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</row>
    <row r="52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</row>
    <row r="53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</row>
    <row r="54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</row>
    <row r="55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</row>
    <row r="56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</row>
    <row r="57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</row>
    <row r="58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</row>
    <row r="59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</row>
  </sheetData>
  <mergeCells count="2">
    <mergeCell ref="A1:G1"/>
    <mergeCell ref="H38:L38"/>
  </mergeCells>
  <dataValidations>
    <dataValidation type="list" allowBlank="1" showErrorMessage="1" sqref="C4:C21">
      <formula1>"Đang kiểm tra,Trưởng phòng nhân sự,Nhân viên "</formula1>
    </dataValidation>
  </dataValidations>
  <drawing r:id="rId1"/>
</worksheet>
</file>